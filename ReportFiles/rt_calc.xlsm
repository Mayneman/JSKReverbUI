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b PC\PycharmProjects\JSKReverbUI\ReportFiles\"/>
    </mc:Choice>
  </mc:AlternateContent>
  <xr:revisionPtr revIDLastSave="0" documentId="13_ncr:1_{72239B38-2E10-424C-AEF6-7C896BB235C8}" xr6:coauthVersionLast="47" xr6:coauthVersionMax="47" xr10:uidLastSave="{00000000-0000-0000-0000-000000000000}"/>
  <bookViews>
    <workbookView xWindow="3510" yWindow="3510" windowWidth="21600" windowHeight="11385" firstSheet="2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6" l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15" i="6"/>
  <c r="Q7" i="6"/>
  <c r="F6" i="6"/>
  <c r="F7" i="6" s="1"/>
  <c r="F8" i="6" s="1"/>
  <c r="E6" i="6"/>
  <c r="E7" i="6" s="1"/>
  <c r="E8" i="6" s="1"/>
  <c r="D6" i="6"/>
  <c r="D7" i="6" s="1"/>
  <c r="D8" i="6" s="1"/>
  <c r="D9" i="6" s="1"/>
  <c r="C6" i="6"/>
  <c r="C7" i="6" s="1"/>
  <c r="B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B33" i="4"/>
  <c r="C24" i="4"/>
  <c r="C23" i="4"/>
  <c r="C17" i="4"/>
  <c r="B17" i="4"/>
  <c r="C14" i="4"/>
  <c r="C10" i="4"/>
  <c r="K33" i="3"/>
  <c r="H33" i="3"/>
  <c r="C33" i="4" s="1"/>
  <c r="G33" i="3"/>
  <c r="K32" i="3"/>
  <c r="K31" i="3"/>
  <c r="K30" i="3"/>
  <c r="G30" i="3"/>
  <c r="B30" i="4" s="1"/>
  <c r="K29" i="3"/>
  <c r="K28" i="3"/>
  <c r="K27" i="3"/>
  <c r="H27" i="3"/>
  <c r="C27" i="4" s="1"/>
  <c r="G27" i="3"/>
  <c r="B27" i="4" s="1"/>
  <c r="K26" i="3"/>
  <c r="H26" i="3"/>
  <c r="C26" i="4" s="1"/>
  <c r="K25" i="3"/>
  <c r="G25" i="3"/>
  <c r="B25" i="4" s="1"/>
  <c r="K24" i="3"/>
  <c r="K23" i="3"/>
  <c r="K22" i="3"/>
  <c r="H22" i="3"/>
  <c r="C22" i="4" s="1"/>
  <c r="K21" i="3"/>
  <c r="G21" i="3"/>
  <c r="B21" i="4" s="1"/>
  <c r="K20" i="3"/>
  <c r="K19" i="3"/>
  <c r="H19" i="3"/>
  <c r="C19" i="4" s="1"/>
  <c r="G19" i="3"/>
  <c r="B19" i="4" s="1"/>
  <c r="K18" i="3"/>
  <c r="G18" i="3"/>
  <c r="B18" i="4" s="1"/>
  <c r="K17" i="3"/>
  <c r="K16" i="3"/>
  <c r="H16" i="3"/>
  <c r="C16" i="4" s="1"/>
  <c r="G16" i="3"/>
  <c r="B16" i="4" s="1"/>
  <c r="C9" i="3"/>
  <c r="E4" i="3"/>
  <c r="D4" i="3"/>
  <c r="C4" i="3"/>
  <c r="E3" i="3"/>
  <c r="I11" i="4" s="1"/>
  <c r="D3" i="3"/>
  <c r="I10" i="4" s="1"/>
  <c r="C3" i="3"/>
  <c r="B27" i="2"/>
  <c r="B26" i="2"/>
  <c r="H32" i="3" s="1"/>
  <c r="C32" i="4" s="1"/>
  <c r="B25" i="2"/>
  <c r="H31" i="3" s="1"/>
  <c r="C31" i="4" s="1"/>
  <c r="B24" i="2"/>
  <c r="H30" i="3" s="1"/>
  <c r="C30" i="4" s="1"/>
  <c r="B23" i="2"/>
  <c r="H29" i="3" s="1"/>
  <c r="C29" i="4" s="1"/>
  <c r="B22" i="2"/>
  <c r="H28" i="3" s="1"/>
  <c r="C28" i="4" s="1"/>
  <c r="B21" i="2"/>
  <c r="B20" i="2"/>
  <c r="B19" i="2"/>
  <c r="H25" i="3" s="1"/>
  <c r="C25" i="4" s="1"/>
  <c r="B18" i="2"/>
  <c r="H24" i="3" s="1"/>
  <c r="B17" i="2"/>
  <c r="H23" i="3" s="1"/>
  <c r="B16" i="2"/>
  <c r="B15" i="2"/>
  <c r="H21" i="3" s="1"/>
  <c r="C21" i="4" s="1"/>
  <c r="B14" i="2"/>
  <c r="H20" i="3" s="1"/>
  <c r="C20" i="4" s="1"/>
  <c r="B13" i="2"/>
  <c r="B12" i="2"/>
  <c r="H18" i="3" s="1"/>
  <c r="C18" i="4" s="1"/>
  <c r="B11" i="2"/>
  <c r="H17" i="3" s="1"/>
  <c r="B10" i="2"/>
  <c r="L37" i="1"/>
  <c r="L36" i="1"/>
  <c r="G32" i="3" s="1"/>
  <c r="B32" i="4" s="1"/>
  <c r="L35" i="1"/>
  <c r="G31" i="3" s="1"/>
  <c r="B31" i="4" s="1"/>
  <c r="L34" i="1"/>
  <c r="L33" i="1"/>
  <c r="G29" i="3" s="1"/>
  <c r="B29" i="4" s="1"/>
  <c r="L32" i="1"/>
  <c r="G28" i="3" s="1"/>
  <c r="B28" i="4" s="1"/>
  <c r="L31" i="1"/>
  <c r="L30" i="1"/>
  <c r="G26" i="3" s="1"/>
  <c r="B26" i="4" s="1"/>
  <c r="L29" i="1"/>
  <c r="L28" i="1"/>
  <c r="G24" i="3" s="1"/>
  <c r="B24" i="4" s="1"/>
  <c r="L27" i="1"/>
  <c r="G23" i="3" s="1"/>
  <c r="B23" i="4" s="1"/>
  <c r="L26" i="1"/>
  <c r="G22" i="3" s="1"/>
  <c r="L25" i="1"/>
  <c r="L24" i="1"/>
  <c r="G20" i="3" s="1"/>
  <c r="B20" i="4" s="1"/>
  <c r="L23" i="1"/>
  <c r="L22" i="1"/>
  <c r="L21" i="1"/>
  <c r="G17" i="3" s="1"/>
  <c r="L20" i="1"/>
  <c r="C8" i="6" l="1"/>
  <c r="D10" i="6"/>
  <c r="E9" i="6"/>
  <c r="F9" i="6"/>
  <c r="B22" i="4"/>
  <c r="D9" i="3"/>
  <c r="C10" i="3"/>
  <c r="C11" i="3" s="1"/>
  <c r="C33" i="3" s="1"/>
  <c r="E33" i="3" s="1"/>
  <c r="I33" i="3" s="1"/>
  <c r="D10" i="3"/>
  <c r="D11" i="3" s="1"/>
  <c r="I9" i="4"/>
  <c r="C12" i="3"/>
  <c r="B7" i="6"/>
  <c r="B23" i="5" l="1"/>
  <c r="L33" i="3"/>
  <c r="M37" i="1" s="1"/>
  <c r="D16" i="3"/>
  <c r="F16" i="3" s="1"/>
  <c r="J16" i="3" s="1"/>
  <c r="C6" i="5" s="1"/>
  <c r="D33" i="3"/>
  <c r="F33" i="3" s="1"/>
  <c r="J33" i="3" s="1"/>
  <c r="C23" i="5" s="1"/>
  <c r="D33" i="4" s="1"/>
  <c r="D11" i="6"/>
  <c r="E10" i="6"/>
  <c r="C24" i="3"/>
  <c r="E24" i="3" s="1"/>
  <c r="I24" i="3" s="1"/>
  <c r="C25" i="3"/>
  <c r="E25" i="3" s="1"/>
  <c r="I25" i="3" s="1"/>
  <c r="C18" i="3"/>
  <c r="E18" i="3" s="1"/>
  <c r="I18" i="3" s="1"/>
  <c r="C17" i="3"/>
  <c r="E17" i="3" s="1"/>
  <c r="I17" i="3" s="1"/>
  <c r="C23" i="3"/>
  <c r="E23" i="3" s="1"/>
  <c r="I23" i="3" s="1"/>
  <c r="C20" i="3"/>
  <c r="E20" i="3" s="1"/>
  <c r="I20" i="3" s="1"/>
  <c r="C32" i="3"/>
  <c r="E32" i="3" s="1"/>
  <c r="I32" i="3" s="1"/>
  <c r="C9" i="6"/>
  <c r="C30" i="3"/>
  <c r="E30" i="3" s="1"/>
  <c r="I30" i="3" s="1"/>
  <c r="C22" i="3"/>
  <c r="E22" i="3" s="1"/>
  <c r="I22" i="3" s="1"/>
  <c r="C19" i="3"/>
  <c r="E19" i="3" s="1"/>
  <c r="I19" i="3" s="1"/>
  <c r="C16" i="3"/>
  <c r="E16" i="3" s="1"/>
  <c r="I16" i="3" s="1"/>
  <c r="D12" i="3"/>
  <c r="D28" i="3" s="1"/>
  <c r="F28" i="3" s="1"/>
  <c r="J28" i="3" s="1"/>
  <c r="C18" i="5" s="1"/>
  <c r="C29" i="3"/>
  <c r="E29" i="3" s="1"/>
  <c r="I29" i="3" s="1"/>
  <c r="C31" i="3"/>
  <c r="E31" i="3" s="1"/>
  <c r="I31" i="3" s="1"/>
  <c r="C21" i="3"/>
  <c r="E21" i="3" s="1"/>
  <c r="I21" i="3" s="1"/>
  <c r="C27" i="3"/>
  <c r="E27" i="3" s="1"/>
  <c r="I27" i="3" s="1"/>
  <c r="D27" i="3"/>
  <c r="F27" i="3" s="1"/>
  <c r="J27" i="3" s="1"/>
  <c r="C17" i="5" s="1"/>
  <c r="B8" i="6"/>
  <c r="C28" i="3"/>
  <c r="E28" i="3" s="1"/>
  <c r="I28" i="3" s="1"/>
  <c r="C26" i="3"/>
  <c r="E26" i="3" s="1"/>
  <c r="I26" i="3" s="1"/>
  <c r="F10" i="6"/>
  <c r="B9" i="5" l="1"/>
  <c r="L19" i="3"/>
  <c r="M23" i="1" s="1"/>
  <c r="B9" i="6"/>
  <c r="B11" i="5"/>
  <c r="L21" i="3"/>
  <c r="M25" i="1" s="1"/>
  <c r="C10" i="6"/>
  <c r="D18" i="3"/>
  <c r="F18" i="3" s="1"/>
  <c r="J18" i="3" s="1"/>
  <c r="C8" i="5" s="1"/>
  <c r="B21" i="5"/>
  <c r="L31" i="3"/>
  <c r="M35" i="1" s="1"/>
  <c r="D19" i="3"/>
  <c r="F19" i="3" s="1"/>
  <c r="J19" i="3" s="1"/>
  <c r="C9" i="5" s="1"/>
  <c r="D19" i="4" s="1"/>
  <c r="B19" i="5"/>
  <c r="L29" i="3"/>
  <c r="M33" i="1" s="1"/>
  <c r="B22" i="5"/>
  <c r="L32" i="3"/>
  <c r="M36" i="1" s="1"/>
  <c r="D29" i="3"/>
  <c r="F29" i="3" s="1"/>
  <c r="J29" i="3" s="1"/>
  <c r="C19" i="5" s="1"/>
  <c r="D29" i="4" s="1"/>
  <c r="L27" i="3"/>
  <c r="M31" i="1" s="1"/>
  <c r="B17" i="5"/>
  <c r="D27" i="4" s="1"/>
  <c r="D20" i="3"/>
  <c r="F20" i="3" s="1"/>
  <c r="J20" i="3" s="1"/>
  <c r="C10" i="5" s="1"/>
  <c r="D20" i="4" s="1"/>
  <c r="B10" i="5"/>
  <c r="L20" i="3"/>
  <c r="M24" i="1" s="1"/>
  <c r="D26" i="3"/>
  <c r="F26" i="3" s="1"/>
  <c r="J26" i="3" s="1"/>
  <c r="C16" i="5" s="1"/>
  <c r="D26" i="4" s="1"/>
  <c r="D17" i="3"/>
  <c r="F17" i="3" s="1"/>
  <c r="J17" i="3" s="1"/>
  <c r="C7" i="5" s="1"/>
  <c r="D17" i="4" s="1"/>
  <c r="B16" i="5"/>
  <c r="L26" i="3"/>
  <c r="M30" i="1" s="1"/>
  <c r="B13" i="5"/>
  <c r="L23" i="3"/>
  <c r="M27" i="1" s="1"/>
  <c r="D31" i="3"/>
  <c r="F31" i="3" s="1"/>
  <c r="J31" i="3" s="1"/>
  <c r="C21" i="5" s="1"/>
  <c r="D31" i="4" s="1"/>
  <c r="G39" i="4" s="1"/>
  <c r="D25" i="3"/>
  <c r="F25" i="3" s="1"/>
  <c r="J25" i="3" s="1"/>
  <c r="C15" i="5" s="1"/>
  <c r="D25" i="4" s="1"/>
  <c r="B18" i="5"/>
  <c r="D28" i="4" s="1"/>
  <c r="F39" i="4" s="1"/>
  <c r="L28" i="3"/>
  <c r="M32" i="1" s="1"/>
  <c r="D23" i="3"/>
  <c r="F23" i="3" s="1"/>
  <c r="J23" i="3" s="1"/>
  <c r="C13" i="5" s="1"/>
  <c r="D23" i="4" s="1"/>
  <c r="B7" i="5"/>
  <c r="L17" i="3"/>
  <c r="M21" i="1" s="1"/>
  <c r="D22" i="3"/>
  <c r="F22" i="3" s="1"/>
  <c r="J22" i="3" s="1"/>
  <c r="C12" i="5" s="1"/>
  <c r="D22" i="4" s="1"/>
  <c r="D32" i="3"/>
  <c r="F32" i="3" s="1"/>
  <c r="J32" i="3" s="1"/>
  <c r="C22" i="5" s="1"/>
  <c r="D32" i="4" s="1"/>
  <c r="B12" i="5"/>
  <c r="L22" i="3"/>
  <c r="M26" i="1" s="1"/>
  <c r="D30" i="3"/>
  <c r="F30" i="3" s="1"/>
  <c r="J30" i="3" s="1"/>
  <c r="C20" i="5" s="1"/>
  <c r="D30" i="4" s="1"/>
  <c r="D21" i="3"/>
  <c r="F21" i="3" s="1"/>
  <c r="J21" i="3" s="1"/>
  <c r="C11" i="5" s="1"/>
  <c r="D21" i="4" s="1"/>
  <c r="B8" i="5"/>
  <c r="L18" i="3"/>
  <c r="M22" i="1" s="1"/>
  <c r="D24" i="3"/>
  <c r="F24" i="3" s="1"/>
  <c r="J24" i="3" s="1"/>
  <c r="C14" i="5" s="1"/>
  <c r="D24" i="4" s="1"/>
  <c r="B20" i="5"/>
  <c r="L30" i="3"/>
  <c r="M34" i="1" s="1"/>
  <c r="F11" i="6"/>
  <c r="B15" i="5"/>
  <c r="L25" i="3"/>
  <c r="M29" i="1" s="1"/>
  <c r="E11" i="6"/>
  <c r="B6" i="5"/>
  <c r="D16" i="4" s="1"/>
  <c r="L16" i="3"/>
  <c r="B14" i="5"/>
  <c r="L24" i="3"/>
  <c r="M28" i="1" s="1"/>
  <c r="D12" i="6"/>
  <c r="L5" i="6" l="1"/>
  <c r="L7" i="6"/>
  <c r="L6" i="6"/>
  <c r="L8" i="6"/>
  <c r="L9" i="6"/>
  <c r="L10" i="6"/>
  <c r="E39" i="4"/>
  <c r="K12" i="6" s="1"/>
  <c r="G49" i="4"/>
  <c r="B49" i="4"/>
  <c r="M5" i="6"/>
  <c r="M6" i="6"/>
  <c r="M8" i="6"/>
  <c r="M7" i="6"/>
  <c r="M9" i="6"/>
  <c r="L11" i="6"/>
  <c r="E12" i="6"/>
  <c r="B10" i="6"/>
  <c r="J10" i="6"/>
  <c r="C11" i="6"/>
  <c r="M20" i="1"/>
  <c r="L34" i="3"/>
  <c r="M11" i="6"/>
  <c r="F12" i="6"/>
  <c r="C39" i="4"/>
  <c r="I9" i="6" s="1"/>
  <c r="D39" i="4"/>
  <c r="M10" i="6"/>
  <c r="D13" i="6"/>
  <c r="B50" i="4"/>
  <c r="D18" i="4"/>
  <c r="B39" i="4" s="1"/>
  <c r="K13" i="6" l="1"/>
  <c r="D14" i="6"/>
  <c r="G9" i="6"/>
  <c r="J5" i="6"/>
  <c r="J6" i="6"/>
  <c r="J7" i="6"/>
  <c r="J8" i="6"/>
  <c r="J9" i="6"/>
  <c r="N9" i="6" s="1"/>
  <c r="K5" i="6"/>
  <c r="K6" i="6"/>
  <c r="K7" i="6"/>
  <c r="K8" i="6"/>
  <c r="K9" i="6"/>
  <c r="K10" i="6"/>
  <c r="K11" i="6"/>
  <c r="L12" i="6"/>
  <c r="E13" i="6"/>
  <c r="C12" i="6"/>
  <c r="J11" i="6"/>
  <c r="I10" i="6"/>
  <c r="N10" i="6" s="1"/>
  <c r="B11" i="6"/>
  <c r="G10" i="6"/>
  <c r="I5" i="6"/>
  <c r="N5" i="6" s="1"/>
  <c r="G5" i="6"/>
  <c r="I6" i="6"/>
  <c r="G6" i="6"/>
  <c r="G7" i="6"/>
  <c r="I7" i="6"/>
  <c r="I8" i="6"/>
  <c r="G8" i="6"/>
  <c r="F13" i="6"/>
  <c r="M12" i="6"/>
  <c r="F14" i="6" l="1"/>
  <c r="M13" i="6"/>
  <c r="N7" i="6"/>
  <c r="E14" i="6"/>
  <c r="L13" i="6"/>
  <c r="J12" i="6"/>
  <c r="C13" i="6"/>
  <c r="K14" i="6"/>
  <c r="D15" i="6"/>
  <c r="N8" i="6"/>
  <c r="N6" i="6"/>
  <c r="B12" i="6"/>
  <c r="I11" i="6"/>
  <c r="N11" i="6" s="1"/>
  <c r="G11" i="6"/>
  <c r="J13" i="6" l="1"/>
  <c r="C14" i="6"/>
  <c r="E15" i="6"/>
  <c r="L14" i="6"/>
  <c r="F15" i="6"/>
  <c r="M14" i="6"/>
  <c r="K15" i="6"/>
  <c r="D16" i="6"/>
  <c r="B13" i="6"/>
  <c r="I12" i="6"/>
  <c r="N12" i="6" s="1"/>
  <c r="G12" i="6"/>
  <c r="F16" i="6" l="1"/>
  <c r="M15" i="6"/>
  <c r="I13" i="6"/>
  <c r="N13" i="6" s="1"/>
  <c r="B14" i="6"/>
  <c r="G13" i="6"/>
  <c r="C15" i="6"/>
  <c r="J14" i="6"/>
  <c r="K16" i="6"/>
  <c r="D17" i="6"/>
  <c r="L15" i="6"/>
  <c r="E16" i="6"/>
  <c r="D18" i="6" l="1"/>
  <c r="K17" i="6"/>
  <c r="G14" i="6"/>
  <c r="B15" i="6"/>
  <c r="I14" i="6"/>
  <c r="N14" i="6" s="1"/>
  <c r="L16" i="6"/>
  <c r="E17" i="6"/>
  <c r="C16" i="6"/>
  <c r="J15" i="6"/>
  <c r="M16" i="6"/>
  <c r="F17" i="6"/>
  <c r="F18" i="6" l="1"/>
  <c r="M17" i="6"/>
  <c r="L17" i="6"/>
  <c r="E18" i="6"/>
  <c r="J16" i="6"/>
  <c r="C17" i="6"/>
  <c r="B16" i="6"/>
  <c r="G15" i="6"/>
  <c r="I15" i="6"/>
  <c r="N15" i="6" s="1"/>
  <c r="K18" i="6"/>
  <c r="D19" i="6"/>
  <c r="K19" i="6" s="1"/>
  <c r="I16" i="6" l="1"/>
  <c r="N16" i="6" s="1"/>
  <c r="G16" i="6"/>
  <c r="B17" i="6"/>
  <c r="J17" i="6"/>
  <c r="C18" i="6"/>
  <c r="L18" i="6"/>
  <c r="E19" i="6"/>
  <c r="L19" i="6" s="1"/>
  <c r="M18" i="6"/>
  <c r="F19" i="6"/>
  <c r="M19" i="6" s="1"/>
  <c r="I17" i="6" l="1"/>
  <c r="N17" i="6" s="1"/>
  <c r="G17" i="6"/>
  <c r="B18" i="6"/>
  <c r="J18" i="6"/>
  <c r="C19" i="6"/>
  <c r="J19" i="6" s="1"/>
  <c r="I18" i="6" l="1"/>
  <c r="N18" i="6" s="1"/>
  <c r="G18" i="6"/>
  <c r="B19" i="6"/>
  <c r="I19" i="6" l="1"/>
  <c r="N19" i="6" s="1"/>
  <c r="Q3" i="6" s="1"/>
  <c r="G19" i="6"/>
  <c r="S28" i="6" l="1"/>
  <c r="T26" i="6"/>
  <c r="T24" i="6"/>
  <c r="T22" i="6"/>
  <c r="T20" i="6"/>
  <c r="U18" i="6"/>
  <c r="R15" i="6"/>
  <c r="R26" i="6"/>
  <c r="R24" i="6"/>
  <c r="R22" i="6"/>
  <c r="R20" i="6"/>
  <c r="S18" i="6"/>
  <c r="U16" i="6"/>
  <c r="Q8" i="6"/>
  <c r="R28" i="6"/>
  <c r="S26" i="6"/>
  <c r="S24" i="6"/>
  <c r="S22" i="6"/>
  <c r="S20" i="6"/>
  <c r="T18" i="6"/>
  <c r="V16" i="6"/>
  <c r="V28" i="6"/>
  <c r="T23" i="6"/>
  <c r="S17" i="6"/>
  <c r="T16" i="6"/>
  <c r="U28" i="6"/>
  <c r="V25" i="6"/>
  <c r="S23" i="6"/>
  <c r="V20" i="6"/>
  <c r="R17" i="6"/>
  <c r="S16" i="6"/>
  <c r="T28" i="6"/>
  <c r="U25" i="6"/>
  <c r="R23" i="6"/>
  <c r="U20" i="6"/>
  <c r="R16" i="6"/>
  <c r="V15" i="6"/>
  <c r="U26" i="6"/>
  <c r="T25" i="6"/>
  <c r="U15" i="6"/>
  <c r="T17" i="6"/>
  <c r="V27" i="6"/>
  <c r="S25" i="6"/>
  <c r="V22" i="6"/>
  <c r="V19" i="6"/>
  <c r="T15" i="6"/>
  <c r="V14" i="6"/>
  <c r="O40" i="6" s="1"/>
  <c r="Q6" i="6"/>
  <c r="C44" i="4" s="1"/>
  <c r="C43" i="4"/>
  <c r="C45" i="4" s="1"/>
  <c r="U23" i="6"/>
  <c r="U27" i="6"/>
  <c r="R25" i="6"/>
  <c r="U22" i="6"/>
  <c r="U19" i="6"/>
  <c r="S15" i="6"/>
  <c r="U14" i="6"/>
  <c r="T27" i="6"/>
  <c r="T19" i="6"/>
  <c r="T14" i="6"/>
  <c r="O34" i="6" s="1"/>
  <c r="O35" i="6" s="1"/>
  <c r="O36" i="6" s="1"/>
  <c r="S27" i="6"/>
  <c r="V24" i="6"/>
  <c r="V21" i="6"/>
  <c r="S19" i="6"/>
  <c r="S14" i="6"/>
  <c r="R27" i="6"/>
  <c r="U24" i="6"/>
  <c r="U21" i="6"/>
  <c r="R19" i="6"/>
  <c r="V18" i="6"/>
  <c r="R14" i="6"/>
  <c r="T21" i="6"/>
  <c r="R18" i="6"/>
  <c r="V17" i="6"/>
  <c r="V26" i="6"/>
  <c r="V23" i="6"/>
  <c r="S21" i="6"/>
  <c r="U17" i="6"/>
  <c r="R21" i="6"/>
  <c r="O28" i="6" l="1"/>
  <c r="O37" i="6"/>
  <c r="O38" i="6" s="1"/>
  <c r="O39" i="6" s="1"/>
  <c r="O31" i="6"/>
  <c r="O32" i="6" l="1"/>
  <c r="O33" i="6" s="1"/>
  <c r="O29" i="6"/>
  <c r="O30" i="6" s="1"/>
</calcChain>
</file>

<file path=xl/sharedStrings.xml><?xml version="1.0" encoding="utf-8"?>
<sst xmlns="http://schemas.openxmlformats.org/spreadsheetml/2006/main" count="131" uniqueCount="108">
  <si>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</si>
  <si>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</si>
  <si>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</si>
  <si>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</si>
  <si>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</si>
  <si>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</si>
  <si>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</si>
  <si>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</si>
  <si>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</si>
  <si>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</si>
  <si>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</si>
  <si>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</si>
  <si>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</si>
  <si>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</si>
  <si>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</si>
  <si>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</si>
  <si>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</si>
  <si>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</si>
  <si>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</si>
  <si>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</si>
  <si>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</si>
  <si>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</si>
  <si>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</si>
  <si>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</si>
  <si>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35.6</t>
  </si>
  <si>
    <t>24</t>
  </si>
  <si>
    <t>100</t>
  </si>
  <si>
    <t>With Sample Paste Data Here</t>
  </si>
  <si>
    <t>Mic 1</t>
  </si>
  <si>
    <t>Mic 2</t>
  </si>
  <si>
    <t>Mic 3</t>
  </si>
  <si>
    <t>Mic 4</t>
  </si>
  <si>
    <t>Mic 5</t>
  </si>
  <si>
    <t>Mic 6</t>
  </si>
  <si>
    <t>60</t>
  </si>
  <si>
    <t>20</t>
  </si>
  <si>
    <t>101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</si>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</sst>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5" fillId="0" borderId="28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left" vertical="center" wrapText="1"/>
    </xf>
    <xf numFmtId="0" fontId="4" fillId="4" borderId="28" xfId="0" applyFont="1" applyFill="1" applyBorder="1" applyAlignment="1">
      <alignment horizontal="center" vertic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4" fillId="0" borderId="28" xfId="0" applyFont="1" applyBorder="1" applyAlignment="1">
      <alignment horizontal="left" vertic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8.026531857693767</c:v>
                </c:pt>
                <c:pt idx="1">
                  <c:v>7.2635651125445602</c:v>
                </c:pt>
                <c:pt idx="2">
                  <c:v>5.238072461395868</c:v>
                </c:pt>
                <c:pt idx="3">
                  <c:v>5.5703581685414552</c:v>
                </c:pt>
                <c:pt idx="4">
                  <c:v>5.4752521135099297</c:v>
                </c:pt>
                <c:pt idx="5">
                  <c:v>5.3795614031429864</c:v>
                </c:pt>
                <c:pt idx="6">
                  <c:v>5.6595424447075793</c:v>
                </c:pt>
                <c:pt idx="7">
                  <c:v>5.9428550029814193</c:v>
                </c:pt>
                <c:pt idx="8">
                  <c:v>6.3948074002165729</c:v>
                </c:pt>
                <c:pt idx="9">
                  <c:v>6.5485575900370181</c:v>
                </c:pt>
                <c:pt idx="10">
                  <c:v>6.292128764357277</c:v>
                </c:pt>
                <c:pt idx="11">
                  <c:v>6.9277230704542179</c:v>
                </c:pt>
                <c:pt idx="12">
                  <c:v>7.0653281923222213</c:v>
                </c:pt>
                <c:pt idx="13">
                  <c:v>8.6314795799031785</c:v>
                </c:pt>
                <c:pt idx="14">
                  <c:v>10.709065332218078</c:v>
                </c:pt>
                <c:pt idx="15">
                  <c:v>12.437865648727636</c:v>
                </c:pt>
                <c:pt idx="16">
                  <c:v>15.88090439131112</c:v>
                </c:pt>
                <c:pt idx="17">
                  <c:v>18.146911549017638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D-42E4-9DDD-1811EF4F7FCC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D-42E4-9DDD-1811EF4F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8.6252342898333698E-3</c:v>
                </c:pt>
                <c:pt idx="1">
                  <c:v>-1.0223746385436662E-2</c:v>
                </c:pt>
                <c:pt idx="2">
                  <c:v>3.9283998776386414E-2</c:v>
                </c:pt>
                <c:pt idx="3">
                  <c:v>4.3744134785099677E-2</c:v>
                </c:pt>
                <c:pt idx="4">
                  <c:v>5.4130224543261191E-2</c:v>
                </c:pt>
                <c:pt idx="5">
                  <c:v>-2.9444228612745579E-2</c:v>
                </c:pt>
                <c:pt idx="6">
                  <c:v>2.9336851010346027E-2</c:v>
                </c:pt>
                <c:pt idx="7">
                  <c:v>6.7612398125670353E-2</c:v>
                </c:pt>
                <c:pt idx="8">
                  <c:v>5.6635836143427744E-2</c:v>
                </c:pt>
                <c:pt idx="9">
                  <c:v>2.6074238059706E-2</c:v>
                </c:pt>
                <c:pt idx="10">
                  <c:v>4.1422170984545398E-2</c:v>
                </c:pt>
                <c:pt idx="11">
                  <c:v>-1.598567511566093E-2</c:v>
                </c:pt>
                <c:pt idx="12">
                  <c:v>2.8323340062735656E-2</c:v>
                </c:pt>
                <c:pt idx="13">
                  <c:v>-7.8265072127057883E-2</c:v>
                </c:pt>
                <c:pt idx="14">
                  <c:v>-0.16393176873638271</c:v>
                </c:pt>
                <c:pt idx="15">
                  <c:v>-0.10466289654987504</c:v>
                </c:pt>
                <c:pt idx="16">
                  <c:v>-0.10481989038405638</c:v>
                </c:pt>
                <c:pt idx="17">
                  <c:v>-8.195412833119313E-2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18-494A-B435-CA21E6462376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18-494A-B435-CA21E6462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8.026531857693767</c:v>
                </c:pt>
                <c:pt idx="1">
                  <c:v>7.2635651125445602</c:v>
                </c:pt>
                <c:pt idx="2">
                  <c:v>5.238072461395868</c:v>
                </c:pt>
                <c:pt idx="3">
                  <c:v>5.5703581685414552</c:v>
                </c:pt>
                <c:pt idx="4">
                  <c:v>5.4752521135099297</c:v>
                </c:pt>
                <c:pt idx="5">
                  <c:v>5.3795614031429864</c:v>
                </c:pt>
                <c:pt idx="6">
                  <c:v>5.6595424447075793</c:v>
                </c:pt>
                <c:pt idx="7">
                  <c:v>5.9428550029814193</c:v>
                </c:pt>
                <c:pt idx="8">
                  <c:v>6.3948074002165729</c:v>
                </c:pt>
                <c:pt idx="9">
                  <c:v>6.5485575900370181</c:v>
                </c:pt>
                <c:pt idx="10">
                  <c:v>6.292128764357277</c:v>
                </c:pt>
                <c:pt idx="11">
                  <c:v>6.9277230704542179</c:v>
                </c:pt>
                <c:pt idx="12">
                  <c:v>7.0653281923222213</c:v>
                </c:pt>
                <c:pt idx="13">
                  <c:v>8.6314795799031785</c:v>
                </c:pt>
                <c:pt idx="14">
                  <c:v>10.709065332218078</c:v>
                </c:pt>
                <c:pt idx="15">
                  <c:v>12.437865648727636</c:v>
                </c:pt>
                <c:pt idx="16">
                  <c:v>15.88090439131112</c:v>
                </c:pt>
                <c:pt idx="17">
                  <c:v>18.146911549017638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8C-4DBB-9B73-9916B6E88E50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8C-4DBB-9B73-9916B6E88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194" width="9.140625" style="6" customWidth="1"/>
    <col min="195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4.031793193335492</v>
      </c>
      <c r="C5" s="47">
        <v>4.3133064549223574</v>
      </c>
      <c r="D5" s="47">
        <v>4.0334685988172199</v>
      </c>
      <c r="E5" s="47">
        <v>3.805989705856291</v>
      </c>
      <c r="F5" s="47">
        <v>4.3549324849405577</v>
      </c>
      <c r="G5" s="47">
        <v>4.0966909830108307</v>
      </c>
      <c r="H5" s="47">
        <v>4.1060302368137913</v>
      </c>
      <c r="I5" s="47">
        <v>30.035796335201081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4.1573249741115044</v>
      </c>
      <c r="C7" s="47">
        <v>4.2940131279968776</v>
      </c>
      <c r="D7" s="47">
        <v>4.7021277331650184</v>
      </c>
      <c r="E7" s="47">
        <v>4.4970399497830904</v>
      </c>
      <c r="F7" s="47">
        <v>4.5204942307942124</v>
      </c>
      <c r="G7" s="47">
        <v>4.7285406439996338</v>
      </c>
      <c r="H7" s="47">
        <v>4.4832567766417224</v>
      </c>
      <c r="I7" s="47">
        <v>27.508548765423651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6.5939797535911282</v>
      </c>
      <c r="C9" s="47">
        <v>5.5981413466997472</v>
      </c>
      <c r="D9" s="47">
        <v>7.1739042820176122</v>
      </c>
      <c r="E9" s="47">
        <v>4.9463508672715601</v>
      </c>
      <c r="F9" s="47">
        <v>5.2434551858778136</v>
      </c>
      <c r="G9" s="47">
        <v>6.52101570799974</v>
      </c>
      <c r="H9" s="47">
        <v>6.0128078572429331</v>
      </c>
      <c r="I9" s="47">
        <v>20.510864443418981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5.7254813797698159</v>
      </c>
      <c r="C11" s="47">
        <v>5.7408427041024321</v>
      </c>
      <c r="D11" s="47">
        <v>5.5048818562745039</v>
      </c>
      <c r="E11" s="47">
        <v>5.7646163295441104</v>
      </c>
      <c r="F11" s="47">
        <v>5.3462394947928482</v>
      </c>
      <c r="G11" s="47">
        <v>5.924147296705593</v>
      </c>
      <c r="H11" s="47">
        <v>5.6677015101982171</v>
      </c>
      <c r="I11" s="47">
        <v>21.759770866921251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5.858421609179536</v>
      </c>
      <c r="C13" s="47">
        <v>5.3517287416762294</v>
      </c>
      <c r="D13" s="47">
        <v>6.350387609430781</v>
      </c>
      <c r="E13" s="47">
        <v>5.5251434450997623</v>
      </c>
      <c r="F13" s="47">
        <v>5.3275249852590614</v>
      </c>
      <c r="G13" s="47">
        <v>6.0336840259308424</v>
      </c>
      <c r="H13" s="47">
        <v>5.7411484027627013</v>
      </c>
      <c r="I13" s="47">
        <v>21.48139645892272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5.8903515163401527</v>
      </c>
      <c r="C15" s="47">
        <v>5.4524524651853277</v>
      </c>
      <c r="D15" s="47">
        <v>6.4650251741533653</v>
      </c>
      <c r="E15" s="47">
        <v>5.2076093156665539</v>
      </c>
      <c r="F15" s="47">
        <v>5.8422311829415188</v>
      </c>
      <c r="G15" s="47">
        <v>6.0697934699691496</v>
      </c>
      <c r="H15" s="47">
        <v>5.8212438540426774</v>
      </c>
      <c r="I15" s="47">
        <v>21.185830041932508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5.4729629604811763</v>
      </c>
      <c r="C17" s="47">
        <v>5.3904847451085693</v>
      </c>
      <c r="D17" s="47">
        <v>5.6681555451971626</v>
      </c>
      <c r="E17" s="47">
        <v>5.5016311157928532</v>
      </c>
      <c r="F17" s="47">
        <v>5.5626590370461271</v>
      </c>
      <c r="G17" s="47">
        <v>5.7328202911922457</v>
      </c>
      <c r="H17" s="47">
        <v>5.5547856158030227</v>
      </c>
      <c r="I17" s="47">
        <v>22.202095372580771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5.1242922256897971</v>
      </c>
      <c r="C19" s="47">
        <v>5.5506906687056148</v>
      </c>
      <c r="D19" s="47">
        <v>5.0782699983776736</v>
      </c>
      <c r="E19" s="47">
        <v>5.4845658743166847</v>
      </c>
      <c r="F19" s="47">
        <v>5.194824548324406</v>
      </c>
      <c r="G19" s="47">
        <v>5.4300301417870864</v>
      </c>
      <c r="H19" s="47">
        <v>5.3104455762002098</v>
      </c>
      <c r="I19" s="47">
        <v>23.223639927218141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4.1060302368137913</v>
      </c>
      <c r="M20" s="102">
        <f>'Initial Parameters'!L16</f>
        <v>0</v>
      </c>
    </row>
    <row r="21" spans="1:97" x14ac:dyDescent="0.25">
      <c r="A21" s="47">
        <v>630</v>
      </c>
      <c r="B21" s="47">
        <v>5.0873184291612539</v>
      </c>
      <c r="C21" s="47">
        <v>5.0975113979835607</v>
      </c>
      <c r="D21" s="47">
        <v>4.6807766137351106</v>
      </c>
      <c r="E21" s="47">
        <v>5.0018587955738862</v>
      </c>
      <c r="F21" s="47">
        <v>4.6823780195491302</v>
      </c>
      <c r="G21" s="47">
        <v>5.2394572347045116</v>
      </c>
      <c r="H21" s="47">
        <v>4.9648834151179093</v>
      </c>
      <c r="I21" s="47">
        <v>24.840033409463441</v>
      </c>
      <c r="K21" s="47">
        <v>125</v>
      </c>
      <c r="L21" s="47">
        <f>H7</f>
        <v>4.4832567766417224</v>
      </c>
      <c r="M21" s="102">
        <f>'Initial Parameters'!L17</f>
        <v>0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6.0128078572429331</v>
      </c>
      <c r="M22" s="102">
        <f>'Initial Parameters'!L18</f>
        <v>1</v>
      </c>
    </row>
    <row r="23" spans="1:97" x14ac:dyDescent="0.25">
      <c r="A23" s="47">
        <v>800</v>
      </c>
      <c r="B23" s="47">
        <v>4.6950950706282866</v>
      </c>
      <c r="C23" s="47">
        <v>4.9421357470517941</v>
      </c>
      <c r="D23" s="47">
        <v>4.8088324922137469</v>
      </c>
      <c r="E23" s="47">
        <v>5.1275653956647194</v>
      </c>
      <c r="F23" s="47">
        <v>4.6484221799133314</v>
      </c>
      <c r="G23" s="47">
        <v>4.8929994905626621</v>
      </c>
      <c r="H23" s="47">
        <v>4.8525083960057573</v>
      </c>
      <c r="I23" s="47">
        <v>25.415279940329992</v>
      </c>
      <c r="K23" s="47">
        <v>200</v>
      </c>
      <c r="L23" s="47">
        <f>H11</f>
        <v>5.6677015101982171</v>
      </c>
      <c r="M23" s="102">
        <f>'Initial Parameters'!L19</f>
        <v>1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5.7411484027627013</v>
      </c>
      <c r="M24" s="102">
        <f>'Initial Parameters'!L20</f>
        <v>1</v>
      </c>
    </row>
    <row r="25" spans="1:97" x14ac:dyDescent="0.25">
      <c r="A25" s="47">
        <v>1000</v>
      </c>
      <c r="B25" s="47">
        <v>4.8532946076587997</v>
      </c>
      <c r="C25" s="47">
        <v>5.1496123309716602</v>
      </c>
      <c r="D25" s="47">
        <v>4.9168972296989688</v>
      </c>
      <c r="E25" s="47">
        <v>4.9963191924717929</v>
      </c>
      <c r="F25" s="47">
        <v>5.052767095134584</v>
      </c>
      <c r="G25" s="47">
        <v>5.1616400164061034</v>
      </c>
      <c r="H25" s="47">
        <v>5.0217550787236513</v>
      </c>
      <c r="I25" s="47">
        <v>24.558712931083299</v>
      </c>
      <c r="K25" s="47">
        <v>315</v>
      </c>
      <c r="L25" s="47">
        <f>H15</f>
        <v>5.8212438540426774</v>
      </c>
      <c r="M25" s="102">
        <f>'Initial Parameters'!L21</f>
        <v>1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5.5547856158030227</v>
      </c>
      <c r="M26" s="102">
        <f>'Initial Parameters'!L22</f>
        <v>1</v>
      </c>
    </row>
    <row r="27" spans="1:97" x14ac:dyDescent="0.25">
      <c r="A27" s="47">
        <v>1250</v>
      </c>
      <c r="B27" s="47">
        <v>4.4752984517804384</v>
      </c>
      <c r="C27" s="47">
        <v>4.3674265178614702</v>
      </c>
      <c r="D27" s="47">
        <v>4.8679467238752574</v>
      </c>
      <c r="E27" s="47">
        <v>4.7307573768819262</v>
      </c>
      <c r="F27" s="47">
        <v>4.6268281302875529</v>
      </c>
      <c r="G27" s="47">
        <v>4.4789503755954998</v>
      </c>
      <c r="H27" s="47">
        <v>4.5912012627136898</v>
      </c>
      <c r="I27" s="47">
        <v>26.861776301810771</v>
      </c>
      <c r="K27" s="47">
        <v>500</v>
      </c>
      <c r="L27" s="47">
        <f>H19</f>
        <v>5.3104455762002098</v>
      </c>
      <c r="M27" s="102">
        <f>'Initial Parameters'!L23</f>
        <v>1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4.9648834151179093</v>
      </c>
      <c r="M28" s="102">
        <f>'Initial Parameters'!L24</f>
        <v>1</v>
      </c>
    </row>
    <row r="29" spans="1:97" x14ac:dyDescent="0.25">
      <c r="A29" s="47">
        <v>1600</v>
      </c>
      <c r="B29" s="47">
        <v>4.3975788803140103</v>
      </c>
      <c r="C29" s="47">
        <v>4.4822645315176644</v>
      </c>
      <c r="D29" s="47">
        <v>4.626694472823214</v>
      </c>
      <c r="E29" s="47">
        <v>4.7013171050574396</v>
      </c>
      <c r="F29" s="47">
        <v>4.4616846906030609</v>
      </c>
      <c r="G29" s="47">
        <v>4.2747674612300646</v>
      </c>
      <c r="H29" s="47">
        <v>4.4907178569242427</v>
      </c>
      <c r="I29" s="47">
        <v>27.46282104689849</v>
      </c>
      <c r="K29" s="47">
        <v>800</v>
      </c>
      <c r="L29" s="47">
        <f>H23</f>
        <v>4.8525083960057573</v>
      </c>
      <c r="M29" s="102">
        <f>'Initial Parameters'!L25</f>
        <v>1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5.0217550787236513</v>
      </c>
      <c r="M30" s="102">
        <f>'Initial Parameters'!L26</f>
        <v>1</v>
      </c>
    </row>
    <row r="31" spans="1:97" x14ac:dyDescent="0.25">
      <c r="A31" s="47">
        <v>2000</v>
      </c>
      <c r="B31" s="47">
        <v>3.6386463020834889</v>
      </c>
      <c r="C31" s="47">
        <v>3.642979679310796</v>
      </c>
      <c r="D31" s="47">
        <v>3.895174670554399</v>
      </c>
      <c r="E31" s="47">
        <v>3.600400199779751</v>
      </c>
      <c r="F31" s="47">
        <v>3.778085037162517</v>
      </c>
      <c r="G31" s="47">
        <v>3.7738849681999129</v>
      </c>
      <c r="H31" s="47">
        <v>3.7215284761818119</v>
      </c>
      <c r="I31" s="47">
        <v>33.139004573980081</v>
      </c>
      <c r="J31" s="1"/>
      <c r="K31" s="47">
        <v>1250</v>
      </c>
      <c r="L31" s="47">
        <f>H27</f>
        <v>4.5912012627136898</v>
      </c>
      <c r="M31" s="102">
        <f>'Initial Parameters'!L27</f>
        <v>1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4.4907178569242427</v>
      </c>
      <c r="M32" s="102">
        <f>'Initial Parameters'!L28</f>
        <v>1</v>
      </c>
    </row>
    <row r="33" spans="1:97" x14ac:dyDescent="0.25">
      <c r="A33" s="47">
        <v>2500</v>
      </c>
      <c r="B33" s="47">
        <v>3.0185399335884329</v>
      </c>
      <c r="C33" s="47">
        <v>3.0270640262633899</v>
      </c>
      <c r="D33" s="47">
        <v>3.0950699200664809</v>
      </c>
      <c r="E33" s="47">
        <v>2.9617537351643999</v>
      </c>
      <c r="F33" s="47">
        <v>3.0886139074427139</v>
      </c>
      <c r="G33" s="47">
        <v>2.986631252416069</v>
      </c>
      <c r="H33" s="47">
        <v>3.0296121291569138</v>
      </c>
      <c r="I33" s="47">
        <v>40.707425932549398</v>
      </c>
      <c r="K33" s="47">
        <v>2000</v>
      </c>
      <c r="L33" s="47">
        <f>H31</f>
        <v>3.7215284761818119</v>
      </c>
      <c r="M33" s="102">
        <f>'Initial Parameters'!L29</f>
        <v>1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3.0296121291569138</v>
      </c>
      <c r="M34" s="102">
        <f>'Initial Parameters'!L30</f>
        <v>1</v>
      </c>
    </row>
    <row r="35" spans="1:97" x14ac:dyDescent="0.25">
      <c r="A35" s="47">
        <v>3150</v>
      </c>
      <c r="B35" s="47">
        <v>2.5214415601714251</v>
      </c>
      <c r="C35" s="47">
        <v>2.5813070218937071</v>
      </c>
      <c r="D35" s="47">
        <v>2.746738933869457</v>
      </c>
      <c r="E35" s="47">
        <v>2.569310494207377</v>
      </c>
      <c r="F35" s="47">
        <v>2.6095203480892941</v>
      </c>
      <c r="G35" s="47">
        <v>2.644483391521987</v>
      </c>
      <c r="H35" s="47">
        <v>2.612133624958874</v>
      </c>
      <c r="I35" s="47">
        <v>47.213375648737092</v>
      </c>
      <c r="K35" s="47">
        <v>3150</v>
      </c>
      <c r="L35" s="47">
        <f>H35</f>
        <v>2.612133624958874</v>
      </c>
      <c r="M35" s="102">
        <f>'Initial Parameters'!L31</f>
        <v>1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2.0545380292547688</v>
      </c>
      <c r="M36" s="102">
        <f>'Initial Parameters'!L32</f>
        <v>0</v>
      </c>
    </row>
    <row r="37" spans="1:97" x14ac:dyDescent="0.25">
      <c r="A37" s="47">
        <v>4000</v>
      </c>
      <c r="B37" s="47">
        <v>2.088299571577489</v>
      </c>
      <c r="C37" s="47">
        <v>2.0836684809925212</v>
      </c>
      <c r="D37" s="47">
        <v>2.0653787940655768</v>
      </c>
      <c r="E37" s="47">
        <v>2.0314801589256972</v>
      </c>
      <c r="F37" s="47">
        <v>2.024270625859967</v>
      </c>
      <c r="G37" s="47">
        <v>2.0341305441073612</v>
      </c>
      <c r="H37" s="47">
        <v>2.0545380292547688</v>
      </c>
      <c r="I37" s="47">
        <v>60.026915702250363</v>
      </c>
      <c r="K37" s="47">
        <v>5000</v>
      </c>
      <c r="L37" s="47">
        <f>H39</f>
        <v>1.786361641005902</v>
      </c>
      <c r="M37" s="102">
        <f>'Initial Parameters'!L33</f>
        <v>0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1.735763872306185</v>
      </c>
      <c r="C39" s="47">
        <v>1.776189228098662</v>
      </c>
      <c r="D39" s="47">
        <v>1.811492235526494</v>
      </c>
      <c r="E39" s="47">
        <v>1.7888346564709581</v>
      </c>
      <c r="F39" s="47">
        <v>1.790369246853831</v>
      </c>
      <c r="G39" s="47">
        <v>1.815520606779286</v>
      </c>
      <c r="H39" s="47">
        <v>1.786361641005902</v>
      </c>
      <c r="I39" s="47">
        <v>69.038356008041518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3.917946792553046</v>
      </c>
      <c r="F5" s="47">
        <v>4.4710186383508779</v>
      </c>
      <c r="G5" s="47">
        <v>3.9568505275512189</v>
      </c>
      <c r="H5" s="47">
        <v>3.8336560129921051</v>
      </c>
      <c r="I5" s="47">
        <v>4.4447978026592496</v>
      </c>
      <c r="J5" s="47">
        <v>3.8635030284215919</v>
      </c>
      <c r="K5" s="47">
        <v>4.0812954670880153</v>
      </c>
      <c r="L5" s="64">
        <v>33.101973026094427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4.3340445696501861</v>
      </c>
      <c r="F7" s="47">
        <v>3.8702109546268622</v>
      </c>
      <c r="G7" s="47">
        <v>4.3969363809699731</v>
      </c>
      <c r="H7" s="47">
        <v>4.9893506762322533</v>
      </c>
      <c r="I7" s="47">
        <v>5.4542430139754412</v>
      </c>
      <c r="J7" s="47">
        <v>4.2742197219274631</v>
      </c>
      <c r="K7" s="47">
        <v>4.5531675528970288</v>
      </c>
      <c r="L7" s="64">
        <v>29.671416796620651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5.4932559510067502</v>
      </c>
      <c r="F9" s="47">
        <v>4.8959854822604507</v>
      </c>
      <c r="G9" s="47">
        <v>6.8480938409965111</v>
      </c>
      <c r="H9" s="47">
        <v>5.4889348596643739</v>
      </c>
      <c r="I9" s="47">
        <v>5.7594298985186079</v>
      </c>
      <c r="J9" s="47">
        <v>5.0330457681799281</v>
      </c>
      <c r="K9" s="47">
        <v>5.5864576334377709</v>
      </c>
      <c r="L9" s="64">
        <v>24.183291177419289</v>
      </c>
    </row>
    <row r="10" spans="1:100" x14ac:dyDescent="0.25">
      <c r="A10" s="5">
        <v>100</v>
      </c>
      <c r="B10" s="7">
        <f>K5</f>
        <v>4.0812954670880153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4.5531675528970288</v>
      </c>
      <c r="D11" s="63">
        <v>200</v>
      </c>
      <c r="E11" s="47">
        <v>5.5393692543349102</v>
      </c>
      <c r="F11" s="47">
        <v>4.3321022001195066</v>
      </c>
      <c r="G11" s="47">
        <v>5.0741252592205814</v>
      </c>
      <c r="H11" s="47">
        <v>6.081971684738436</v>
      </c>
      <c r="I11" s="47">
        <v>5.3226853513135879</v>
      </c>
      <c r="J11" s="47">
        <v>5.0804804283843108</v>
      </c>
      <c r="K11" s="47">
        <v>5.2384556963518891</v>
      </c>
      <c r="L11" s="64">
        <v>25.78983938565413</v>
      </c>
    </row>
    <row r="12" spans="1:100" x14ac:dyDescent="0.25">
      <c r="A12" s="5">
        <v>160</v>
      </c>
      <c r="B12" s="7">
        <f>K9</f>
        <v>5.5864576334377709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5.2384556963518891</v>
      </c>
      <c r="D13" s="63">
        <v>250</v>
      </c>
      <c r="E13" s="47">
        <v>4.8531695196546316</v>
      </c>
      <c r="F13" s="47">
        <v>4.7401279259582632</v>
      </c>
      <c r="G13" s="47">
        <v>5.4544514875250503</v>
      </c>
      <c r="H13" s="47">
        <v>5.457088084180322</v>
      </c>
      <c r="I13" s="47">
        <v>5.3659447152600057</v>
      </c>
      <c r="J13" s="47">
        <v>5.3520946087013757</v>
      </c>
      <c r="K13" s="47">
        <v>5.2038127235466076</v>
      </c>
      <c r="L13" s="64">
        <v>25.96152806366576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5.2038127235466076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6.073993977261062</v>
      </c>
      <c r="D15" s="63">
        <v>315</v>
      </c>
      <c r="E15" s="47">
        <v>5.7731739837133054</v>
      </c>
      <c r="F15" s="47">
        <v>6.6426001848484102</v>
      </c>
      <c r="G15" s="47">
        <v>6.6892272772624377</v>
      </c>
      <c r="H15" s="47">
        <v>4.9874479476689642</v>
      </c>
      <c r="I15" s="47">
        <v>6.2704014813380056</v>
      </c>
      <c r="J15" s="47">
        <v>6.0811129887352502</v>
      </c>
      <c r="K15" s="47">
        <v>6.073993977261062</v>
      </c>
      <c r="L15" s="64">
        <v>22.242189936707021</v>
      </c>
    </row>
    <row r="16" spans="1:100" x14ac:dyDescent="0.25">
      <c r="A16" s="5">
        <v>400</v>
      </c>
      <c r="B16" s="7">
        <f>K17</f>
        <v>5.2392675255682049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4.7430302763307806</v>
      </c>
      <c r="D17" s="63">
        <v>400</v>
      </c>
      <c r="E17" s="47">
        <v>4.6326747952695948</v>
      </c>
      <c r="F17" s="47">
        <v>5.3987397860781448</v>
      </c>
      <c r="G17" s="47">
        <v>5.2897893918814436</v>
      </c>
      <c r="H17" s="47">
        <v>5.1494041222034914</v>
      </c>
      <c r="I17" s="47">
        <v>5.8046895356402084</v>
      </c>
      <c r="J17" s="47">
        <v>5.1603075223363453</v>
      </c>
      <c r="K17" s="47">
        <v>5.2392675255682049</v>
      </c>
      <c r="L17" s="64">
        <v>25.785842213101269</v>
      </c>
    </row>
    <row r="18" spans="1:100" x14ac:dyDescent="0.25">
      <c r="A18" s="5">
        <v>630</v>
      </c>
      <c r="B18" s="7">
        <f>K21</f>
        <v>4.5333937742167301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4.63025714091577</v>
      </c>
      <c r="D19" s="63">
        <v>500</v>
      </c>
      <c r="E19" s="47">
        <v>4.6786632636695211</v>
      </c>
      <c r="F19" s="47">
        <v>4.8258363681390906</v>
      </c>
      <c r="G19" s="47">
        <v>4.7263941978830326</v>
      </c>
      <c r="H19" s="47">
        <v>4.7170085054510054</v>
      </c>
      <c r="I19" s="47">
        <v>4.5269494809052979</v>
      </c>
      <c r="J19" s="47">
        <v>4.9833298419367411</v>
      </c>
      <c r="K19" s="47">
        <v>4.7430302763307806</v>
      </c>
      <c r="L19" s="64">
        <v>28.483672867419269</v>
      </c>
    </row>
    <row r="20" spans="1:100" x14ac:dyDescent="0.25">
      <c r="A20" s="5">
        <v>1000</v>
      </c>
      <c r="B20" s="7">
        <f>K25</f>
        <v>4.6780857293432421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4.6540988277756083</v>
      </c>
      <c r="D21" s="63">
        <v>630</v>
      </c>
      <c r="E21" s="47">
        <v>4.516731089573268</v>
      </c>
      <c r="F21" s="47">
        <v>4.5130312143732718</v>
      </c>
      <c r="G21" s="47">
        <v>4.5838141769410221</v>
      </c>
      <c r="H21" s="47">
        <v>4.3759728253107806</v>
      </c>
      <c r="I21" s="47">
        <v>4.6017219886920344</v>
      </c>
      <c r="J21" s="47">
        <v>4.6090913504100062</v>
      </c>
      <c r="K21" s="47">
        <v>4.5333937742167301</v>
      </c>
      <c r="L21" s="64">
        <v>29.800834504332279</v>
      </c>
    </row>
    <row r="22" spans="1:100" x14ac:dyDescent="0.25">
      <c r="A22" s="5">
        <v>1600</v>
      </c>
      <c r="B22" s="7">
        <f>K29</f>
        <v>4.2886789019425597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4.0574804758836001</v>
      </c>
      <c r="D23" s="63">
        <v>800</v>
      </c>
      <c r="E23" s="47">
        <v>4.6227629425323071</v>
      </c>
      <c r="F23" s="47">
        <v>4.8698153104089057</v>
      </c>
      <c r="G23" s="47">
        <v>4.4419216854389996</v>
      </c>
      <c r="H23" s="47">
        <v>4.7834213463188799</v>
      </c>
      <c r="I23" s="47">
        <v>4.4737534314789622</v>
      </c>
      <c r="J23" s="47">
        <v>4.5898681293165664</v>
      </c>
      <c r="K23" s="47">
        <v>4.63025714091577</v>
      </c>
      <c r="L23" s="64">
        <v>29.17740930224134</v>
      </c>
    </row>
    <row r="24" spans="1:100" x14ac:dyDescent="0.25">
      <c r="A24" s="5">
        <v>2500</v>
      </c>
      <c r="B24" s="7">
        <f>K33</f>
        <v>3.5545872939277139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2.8435072222906279</v>
      </c>
      <c r="D25" s="63">
        <v>1000</v>
      </c>
      <c r="E25" s="47">
        <v>4.7316261124533012</v>
      </c>
      <c r="F25" s="47">
        <v>4.6749867290466716</v>
      </c>
      <c r="G25" s="47">
        <v>4.6954547233059261</v>
      </c>
      <c r="H25" s="47">
        <v>4.4820857220740278</v>
      </c>
      <c r="I25" s="47">
        <v>4.7313920371048628</v>
      </c>
      <c r="J25" s="47">
        <v>4.7529690520746586</v>
      </c>
      <c r="K25" s="47">
        <v>4.6780857293432421</v>
      </c>
      <c r="L25" s="64">
        <v>28.87909737155826</v>
      </c>
    </row>
    <row r="26" spans="1:100" x14ac:dyDescent="0.25">
      <c r="A26" s="5">
        <v>4000</v>
      </c>
      <c r="B26" s="7">
        <f>K37</f>
        <v>2.19917769587172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1.8723404038729869</v>
      </c>
      <c r="D27" s="63">
        <v>1250</v>
      </c>
      <c r="E27" s="47">
        <v>4.6013232895656486</v>
      </c>
      <c r="F27" s="47">
        <v>4.6832845509134771</v>
      </c>
      <c r="G27" s="47">
        <v>4.6946979828940378</v>
      </c>
      <c r="H27" s="47">
        <v>4.7238147442330831</v>
      </c>
      <c r="I27" s="47">
        <v>4.7350542417214951</v>
      </c>
      <c r="J27" s="47">
        <v>4.486418157325903</v>
      </c>
      <c r="K27" s="47">
        <v>4.6540988277756083</v>
      </c>
      <c r="L27" s="64">
        <v>29.02793352213941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4.4241760456398183</v>
      </c>
      <c r="F29" s="47">
        <v>4.2060752681050353</v>
      </c>
      <c r="G29" s="47">
        <v>4.4676073671168268</v>
      </c>
      <c r="H29" s="47">
        <v>4.1319560470806183</v>
      </c>
      <c r="I29" s="47">
        <v>4.2691109485392129</v>
      </c>
      <c r="J29" s="47">
        <v>4.2331477351738478</v>
      </c>
      <c r="K29" s="47">
        <v>4.2886789019425597</v>
      </c>
      <c r="L29" s="64">
        <v>31.501271872453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3.9814540192248531</v>
      </c>
      <c r="F31" s="47">
        <v>4.0635102120464008</v>
      </c>
      <c r="G31" s="47">
        <v>4.1935352823007834</v>
      </c>
      <c r="H31" s="47">
        <v>4.0974901944196978</v>
      </c>
      <c r="I31" s="47">
        <v>3.9543700919574261</v>
      </c>
      <c r="J31" s="47">
        <v>4.054523055352437</v>
      </c>
      <c r="K31" s="47">
        <v>4.0574804758836001</v>
      </c>
      <c r="L31" s="64">
        <v>33.296228166784488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3.2324863339315741</v>
      </c>
      <c r="F33" s="47">
        <v>3.6169069899055128</v>
      </c>
      <c r="G33" s="47">
        <v>3.6859908298751649</v>
      </c>
      <c r="H33" s="47">
        <v>3.7141568147743418</v>
      </c>
      <c r="I33" s="47">
        <v>3.6662388881135728</v>
      </c>
      <c r="J33" s="47">
        <v>3.4117439069661208</v>
      </c>
      <c r="K33" s="47">
        <v>3.5545872939277139</v>
      </c>
      <c r="L33" s="64">
        <v>38.006872237990457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2.7236569402722219</v>
      </c>
      <c r="F35" s="47">
        <v>2.9350500845139109</v>
      </c>
      <c r="G35" s="47">
        <v>2.859058673634757</v>
      </c>
      <c r="H35" s="47">
        <v>2.8797058884576838</v>
      </c>
      <c r="I35" s="47">
        <v>2.8370692584198069</v>
      </c>
      <c r="J35" s="47">
        <v>2.826502488445386</v>
      </c>
      <c r="K35" s="47">
        <v>2.8435072222906279</v>
      </c>
      <c r="L35" s="64">
        <v>47.511289371131532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2.3132000618122981</v>
      </c>
      <c r="F37" s="47">
        <v>2.145170929000829</v>
      </c>
      <c r="G37" s="47">
        <v>2.231283119909437</v>
      </c>
      <c r="H37" s="47">
        <v>2.1856440078260619</v>
      </c>
      <c r="I37" s="47">
        <v>2.1088937109996899</v>
      </c>
      <c r="J37" s="47">
        <v>2.2108743456820021</v>
      </c>
      <c r="K37" s="47">
        <v>2.19917769587172</v>
      </c>
      <c r="L37" s="64">
        <v>61.431432223200922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2.004024865335456</v>
      </c>
      <c r="F39" s="66">
        <v>1.821225628739565</v>
      </c>
      <c r="G39" s="66">
        <v>1.8182357308594359</v>
      </c>
      <c r="H39" s="66">
        <v>1.8279832316339031</v>
      </c>
      <c r="I39" s="66">
        <v>1.8898526280965571</v>
      </c>
      <c r="J39" s="66">
        <v>1.8727203385730029</v>
      </c>
      <c r="K39" s="66">
        <v>1.8723404038729869</v>
      </c>
      <c r="L39" s="67">
        <v>72.154901490385299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 t="s">
        <v>34</v>
      </c>
      <c r="F43" s="70" t="s">
        <v>35</v>
      </c>
      <c r="G43" s="70" t="s">
        <v>36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194" width="9.140625" style="71" customWidth="1"/>
    <col min="195" max="16384" width="9.140625" style="71"/>
  </cols>
  <sheetData>
    <row r="1" spans="2:12" ht="14.45" customHeight="1" thickBot="1" x14ac:dyDescent="0.25">
      <c r="B1" s="19" t="s">
        <v>37</v>
      </c>
    </row>
    <row r="2" spans="2:12" ht="14.45" customHeight="1" thickBot="1" x14ac:dyDescent="0.25">
      <c r="C2" s="20" t="s">
        <v>38</v>
      </c>
      <c r="D2" s="21" t="s">
        <v>39</v>
      </c>
      <c r="E2" s="22" t="s">
        <v>40</v>
      </c>
    </row>
    <row r="3" spans="2:12" ht="14.45" customHeight="1" thickBot="1" x14ac:dyDescent="0.25">
      <c r="B3" s="23" t="s">
        <v>41</v>
      </c>
      <c r="C3" s="78" t="str">
        <f>'T1 Empty Room'!C43</f>
        <v>24</v>
      </c>
      <c r="D3" s="79">
        <f>'T1 Empty Room'!B43/100</f>
        <v>0.35600000000000004</v>
      </c>
      <c r="E3" s="80" t="str">
        <f>'T1 Empty Room'!D43</f>
        <v>100</v>
      </c>
    </row>
    <row r="4" spans="2:12" ht="14.45" customHeight="1" thickBot="1" x14ac:dyDescent="0.25">
      <c r="B4" s="25" t="s">
        <v>42</v>
      </c>
      <c r="C4" s="81" t="str">
        <f>'T2 With Sample'!F43</f>
        <v>20</v>
      </c>
      <c r="D4" s="82">
        <f>'T2 With Sample'!E43/100</f>
        <v>0.6</v>
      </c>
      <c r="E4" s="83" t="str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43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44</v>
      </c>
      <c r="D8" s="31" t="s">
        <v>45</v>
      </c>
    </row>
    <row r="9" spans="2:12" x14ac:dyDescent="0.2">
      <c r="B9" s="32" t="s">
        <v>46</v>
      </c>
      <c r="C9" s="24">
        <f>331 + 0.6*C3</f>
        <v>345.4</v>
      </c>
      <c r="D9" s="33">
        <f>331 + 0.6*C4</f>
        <v>343</v>
      </c>
    </row>
    <row r="10" spans="2:12" x14ac:dyDescent="0.2">
      <c r="B10" s="34" t="s">
        <v>47</v>
      </c>
      <c r="C10" s="106">
        <f>D3 * 10^( (-6.8346*(273.16/(C3+273.15))^1.261 + 4.6151) ) * (E3/101.352)</f>
        <v>1.033791679673121E-2</v>
      </c>
      <c r="D10" s="107">
        <f>D4* 10^( (-6.8346*(273.16/(C4+273.15))^1.261 + 4.6151) ) * (E4/101.352)</f>
        <v>1.3788395153664023E-2</v>
      </c>
    </row>
    <row r="11" spans="2:12" x14ac:dyDescent="0.2">
      <c r="B11" s="34" t="s">
        <v>48</v>
      </c>
      <c r="C11" s="35">
        <f>(E3/101.325)*(24 + 4.04*(10^4)*C10*((0.02+C10)/(0.391+C10)))</f>
        <v>54.844429311667696</v>
      </c>
      <c r="D11" s="36">
        <f>(E4/101.325)*(24 + 4.04*(10^4)*D10*((0.02+D10)/(0.391+D10)))</f>
        <v>70.271912242367563</v>
      </c>
    </row>
    <row r="12" spans="2:12" ht="14.45" customHeight="1" thickBot="1" x14ac:dyDescent="0.25">
      <c r="B12" s="37" t="s">
        <v>49</v>
      </c>
      <c r="C12" s="38">
        <f>(E3/101.325)*((C3+273.15)/293.15)^(-0.5) * (9 + 280*C10*EXP(-4.17*(((C3+273.15)/293.15)^(-1/3) - 1)))</f>
        <v>11.713631745841074</v>
      </c>
      <c r="D12" s="39">
        <f>(E4/101.325)*((C4+273.15)/293.15)^(-0.5) * (9 + 280*D10*EXP(-4.17*(((C4+273.15)/293.15)^(-1/3) - 1)))</f>
        <v>12.819499777405563</v>
      </c>
    </row>
    <row r="13" spans="2:12" ht="14.45" customHeight="1" thickBot="1" x14ac:dyDescent="0.25"/>
    <row r="14" spans="2:12" ht="14.45" customHeight="1" thickBot="1" x14ac:dyDescent="0.3">
      <c r="C14" s="135" t="s">
        <v>50</v>
      </c>
      <c r="D14" s="130"/>
      <c r="E14" s="136" t="s">
        <v>51</v>
      </c>
      <c r="F14" s="131"/>
      <c r="G14" s="137" t="s">
        <v>52</v>
      </c>
      <c r="H14" s="138"/>
      <c r="I14" s="137" t="s">
        <v>53</v>
      </c>
      <c r="J14" s="138"/>
      <c r="K14" s="139" t="s">
        <v>54</v>
      </c>
      <c r="L14" s="133" t="s">
        <v>55</v>
      </c>
    </row>
    <row r="15" spans="2:12" ht="14.45" customHeight="1" thickBot="1" x14ac:dyDescent="0.25">
      <c r="B15" s="118" t="s">
        <v>56</v>
      </c>
      <c r="C15" s="98" t="s">
        <v>44</v>
      </c>
      <c r="D15" s="99" t="s">
        <v>57</v>
      </c>
      <c r="E15" s="100" t="s">
        <v>44</v>
      </c>
      <c r="F15" s="101" t="s">
        <v>57</v>
      </c>
      <c r="G15" s="100" t="s">
        <v>58</v>
      </c>
      <c r="H15" s="101" t="s">
        <v>59</v>
      </c>
      <c r="I15" s="100" t="s">
        <v>44</v>
      </c>
      <c r="J15" s="101" t="s">
        <v>57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2.5423939423337982E-3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2.6379854769005974E-3</v>
      </c>
      <c r="E16" s="110">
        <f t="shared" ref="E16:E33" si="2">C16/(10*LOG10(EXP(1)))</f>
        <v>5.854078392136167E-4</v>
      </c>
      <c r="F16" s="111">
        <f t="shared" ref="F16:F33" si="3">D16/(10*LOG10(EXP(1)))</f>
        <v>6.074186034646104E-4</v>
      </c>
      <c r="G16" s="95">
        <f>'T1 Empty Room'!L20</f>
        <v>4.1060302368137913</v>
      </c>
      <c r="H16" s="95">
        <f>'T2 With Sample'!B10</f>
        <v>4.0812954670880153</v>
      </c>
      <c r="I16" s="41">
        <f t="shared" ref="I16:I33" si="4">(55.3*$C$6/(C$9*G16))-(4*$C$6*E16)</f>
        <v>8.026531857693767</v>
      </c>
      <c r="J16" s="36">
        <f t="shared" ref="J16:J33" si="5">(55.3*$C$6/(D$9*H16))-(4*$C$6*F16)</f>
        <v>8.1191159850842674</v>
      </c>
      <c r="K16" s="42">
        <f t="shared" ref="K16:K25" si="6">6.5*($C$6/200)^(2/3)</f>
        <v>6.9054094709481486</v>
      </c>
      <c r="L16" s="43">
        <f t="shared" ref="L16:L33" si="7">IF((K16-I16)&gt;0,1,0)</f>
        <v>0</v>
      </c>
    </row>
    <row r="17" spans="2:12" x14ac:dyDescent="0.2">
      <c r="B17" s="40">
        <v>125</v>
      </c>
      <c r="C17" s="108">
        <f t="shared" si="0"/>
        <v>2.7627923776194566E-3</v>
      </c>
      <c r="D17" s="109">
        <f t="shared" si="1"/>
        <v>2.9786601414123247E-3</v>
      </c>
      <c r="E17" s="110">
        <f t="shared" si="2"/>
        <v>6.3615645437441366E-4</v>
      </c>
      <c r="F17" s="111">
        <f t="shared" si="3"/>
        <v>6.8586184387115553E-4</v>
      </c>
      <c r="G17" s="95">
        <f>'T1 Empty Room'!L21</f>
        <v>4.4832567766417224</v>
      </c>
      <c r="H17" s="95">
        <f>'T2 With Sample'!B11</f>
        <v>4.5531675528970288</v>
      </c>
      <c r="I17" s="41">
        <f t="shared" si="4"/>
        <v>7.2635651125445602</v>
      </c>
      <c r="J17" s="36">
        <f t="shared" si="5"/>
        <v>7.1538223964686445</v>
      </c>
      <c r="K17" s="42">
        <f t="shared" si="6"/>
        <v>6.9054094709481486</v>
      </c>
      <c r="L17" s="43">
        <f t="shared" si="7"/>
        <v>0</v>
      </c>
    </row>
    <row r="18" spans="2:12" x14ac:dyDescent="0.2">
      <c r="B18" s="40">
        <v>160</v>
      </c>
      <c r="C18" s="108">
        <f t="shared" si="0"/>
        <v>2.9413236307807285E-3</v>
      </c>
      <c r="D18" s="109">
        <f t="shared" si="1"/>
        <v>3.274870953522256E-3</v>
      </c>
      <c r="E18" s="110">
        <f t="shared" si="2"/>
        <v>6.7726479459068276E-4</v>
      </c>
      <c r="F18" s="111">
        <f t="shared" si="3"/>
        <v>7.5406690390595428E-4</v>
      </c>
      <c r="G18" s="95">
        <f>'T1 Empty Room'!L22</f>
        <v>6.0128078572429331</v>
      </c>
      <c r="H18" s="95">
        <f>'T2 With Sample'!B12</f>
        <v>5.5864576334377709</v>
      </c>
      <c r="I18" s="41">
        <f t="shared" si="4"/>
        <v>5.238072461395868</v>
      </c>
      <c r="J18" s="36">
        <f t="shared" si="5"/>
        <v>5.6597508326614774</v>
      </c>
      <c r="K18" s="42">
        <f t="shared" si="6"/>
        <v>6.9054094709481486</v>
      </c>
      <c r="L18" s="43">
        <f t="shared" si="7"/>
        <v>1</v>
      </c>
    </row>
    <row r="19" spans="2:12" x14ac:dyDescent="0.2">
      <c r="B19" s="40">
        <v>200</v>
      </c>
      <c r="C19" s="108">
        <f t="shared" si="0"/>
        <v>3.0542877280499391E-3</v>
      </c>
      <c r="D19" s="109">
        <f t="shared" si="1"/>
        <v>3.4717453322879177E-3</v>
      </c>
      <c r="E19" s="110">
        <f t="shared" si="2"/>
        <v>7.0327573923224416E-4</v>
      </c>
      <c r="F19" s="111">
        <f t="shared" si="3"/>
        <v>7.9939890487978188E-4</v>
      </c>
      <c r="G19" s="95">
        <f>'T1 Empty Room'!L23</f>
        <v>5.6677015101982171</v>
      </c>
      <c r="H19" s="95">
        <f>'T2 With Sample'!B13</f>
        <v>5.2384556963518891</v>
      </c>
      <c r="I19" s="41">
        <f t="shared" si="4"/>
        <v>5.5703581685414552</v>
      </c>
      <c r="J19" s="36">
        <f t="shared" si="5"/>
        <v>6.0399120857381936</v>
      </c>
      <c r="K19" s="42">
        <f t="shared" si="6"/>
        <v>6.9054094709481486</v>
      </c>
      <c r="L19" s="43">
        <f t="shared" si="7"/>
        <v>1</v>
      </c>
    </row>
    <row r="20" spans="2:12" x14ac:dyDescent="0.2">
      <c r="B20" s="40">
        <v>250</v>
      </c>
      <c r="C20" s="108">
        <f t="shared" si="0"/>
        <v>3.1334258732578471E-3</v>
      </c>
      <c r="D20" s="109">
        <f t="shared" si="1"/>
        <v>3.6129985579847661E-3</v>
      </c>
      <c r="E20" s="110">
        <f t="shared" si="2"/>
        <v>7.2149797057653687E-4</v>
      </c>
      <c r="F20" s="111">
        <f t="shared" si="3"/>
        <v>8.3192366206247053E-4</v>
      </c>
      <c r="G20" s="95">
        <f>'T1 Empty Room'!L24</f>
        <v>5.7411484027627013</v>
      </c>
      <c r="H20" s="95">
        <f>'T2 With Sample'!B14</f>
        <v>5.2038127235466076</v>
      </c>
      <c r="I20" s="41">
        <f t="shared" si="4"/>
        <v>5.4752521135099297</v>
      </c>
      <c r="J20" s="36">
        <f t="shared" si="5"/>
        <v>6.0562913567797496</v>
      </c>
      <c r="K20" s="42">
        <f t="shared" si="6"/>
        <v>6.9054094709481486</v>
      </c>
      <c r="L20" s="43">
        <f t="shared" si="7"/>
        <v>1</v>
      </c>
    </row>
    <row r="21" spans="2:12" x14ac:dyDescent="0.2">
      <c r="B21" s="40">
        <v>315</v>
      </c>
      <c r="C21" s="108">
        <f t="shared" si="0"/>
        <v>3.1912305732598382E-3</v>
      </c>
      <c r="D21" s="109">
        <f t="shared" si="1"/>
        <v>3.7158050625798384E-3</v>
      </c>
      <c r="E21" s="110">
        <f t="shared" si="2"/>
        <v>7.3480799462949462E-4</v>
      </c>
      <c r="F21" s="111">
        <f t="shared" si="3"/>
        <v>8.5559573455681426E-4</v>
      </c>
      <c r="G21" s="95">
        <f>'T1 Empty Room'!L25</f>
        <v>5.8212438540426774</v>
      </c>
      <c r="H21" s="95">
        <f>'T2 With Sample'!B15</f>
        <v>6.073993977261062</v>
      </c>
      <c r="I21" s="41">
        <f t="shared" si="4"/>
        <v>5.3795614031429864</v>
      </c>
      <c r="J21" s="36">
        <f t="shared" si="5"/>
        <v>5.0635041087909141</v>
      </c>
      <c r="K21" s="42">
        <f t="shared" si="6"/>
        <v>6.9054094709481486</v>
      </c>
      <c r="L21" s="43">
        <f t="shared" si="7"/>
        <v>1</v>
      </c>
    </row>
    <row r="22" spans="2:12" x14ac:dyDescent="0.2">
      <c r="B22" s="40">
        <v>400</v>
      </c>
      <c r="C22" s="108">
        <f t="shared" si="0"/>
        <v>3.2355979182873596E-3</v>
      </c>
      <c r="D22" s="109">
        <f t="shared" si="1"/>
        <v>3.7911230689218318E-3</v>
      </c>
      <c r="E22" s="110">
        <f t="shared" si="2"/>
        <v>7.4502395335710402E-4</v>
      </c>
      <c r="F22" s="111">
        <f t="shared" si="3"/>
        <v>8.7293834642052472E-4</v>
      </c>
      <c r="G22" s="95">
        <f>'T1 Empty Room'!L26</f>
        <v>5.5547856158030227</v>
      </c>
      <c r="H22" s="95">
        <f>'T2 With Sample'!B16</f>
        <v>5.2392675255682049</v>
      </c>
      <c r="I22" s="41">
        <f t="shared" si="4"/>
        <v>5.6595424447075793</v>
      </c>
      <c r="J22" s="36">
        <f t="shared" si="5"/>
        <v>5.9744471371377346</v>
      </c>
      <c r="K22" s="42">
        <f t="shared" si="6"/>
        <v>6.9054094709481486</v>
      </c>
      <c r="L22" s="43">
        <f t="shared" si="7"/>
        <v>1</v>
      </c>
    </row>
    <row r="23" spans="2:12" x14ac:dyDescent="0.2">
      <c r="B23" s="40">
        <v>500</v>
      </c>
      <c r="C23" s="108">
        <f t="shared" si="0"/>
        <v>3.2708900683031065E-3</v>
      </c>
      <c r="D23" s="109">
        <f t="shared" si="1"/>
        <v>3.8452277997175388E-3</v>
      </c>
      <c r="E23" s="110">
        <f t="shared" si="2"/>
        <v>7.5315027120970092E-4</v>
      </c>
      <c r="F23" s="111">
        <f t="shared" si="3"/>
        <v>8.8539642107958981E-4</v>
      </c>
      <c r="G23" s="95">
        <f>'T1 Empty Room'!L27</f>
        <v>5.3104455762002098</v>
      </c>
      <c r="H23" s="95">
        <f>'T2 With Sample'!B17</f>
        <v>4.7430302763307806</v>
      </c>
      <c r="I23" s="41">
        <f t="shared" si="4"/>
        <v>5.9428550029814193</v>
      </c>
      <c r="J23" s="36">
        <f t="shared" si="5"/>
        <v>6.6686132457021774</v>
      </c>
      <c r="K23" s="42">
        <f t="shared" si="6"/>
        <v>6.9054094709481486</v>
      </c>
      <c r="L23" s="43">
        <f t="shared" si="7"/>
        <v>1</v>
      </c>
    </row>
    <row r="24" spans="2:12" x14ac:dyDescent="0.2">
      <c r="B24" s="40">
        <v>630</v>
      </c>
      <c r="C24" s="108">
        <f t="shared" si="0"/>
        <v>3.3085583084643492E-3</v>
      </c>
      <c r="D24" s="109">
        <f t="shared" si="1"/>
        <v>3.8953610111081083E-3</v>
      </c>
      <c r="E24" s="110">
        <f t="shared" si="2"/>
        <v>7.6182370403716062E-4</v>
      </c>
      <c r="F24" s="111">
        <f t="shared" si="3"/>
        <v>8.9694001960077428E-4</v>
      </c>
      <c r="G24" s="95">
        <f>'T1 Empty Room'!L28</f>
        <v>4.9648834151179093</v>
      </c>
      <c r="H24" s="95">
        <f>'T2 With Sample'!B18</f>
        <v>4.5333937742167301</v>
      </c>
      <c r="I24" s="41">
        <f t="shared" si="4"/>
        <v>6.3948074002165729</v>
      </c>
      <c r="J24" s="36">
        <f t="shared" si="5"/>
        <v>7.0027421289637406</v>
      </c>
      <c r="K24" s="42">
        <f t="shared" si="6"/>
        <v>6.9054094709481486</v>
      </c>
      <c r="L24" s="43">
        <f t="shared" si="7"/>
        <v>1</v>
      </c>
    </row>
    <row r="25" spans="2:12" x14ac:dyDescent="0.2">
      <c r="B25" s="40">
        <v>800</v>
      </c>
      <c r="C25" s="108">
        <f t="shared" si="0"/>
        <v>3.3571256331399861E-3</v>
      </c>
      <c r="D25" s="109">
        <f t="shared" si="1"/>
        <v>3.9517258731425657E-3</v>
      </c>
      <c r="E25" s="110">
        <f t="shared" si="2"/>
        <v>7.7300674381763294E-4</v>
      </c>
      <c r="F25" s="111">
        <f t="shared" si="3"/>
        <v>9.0991850870969504E-4</v>
      </c>
      <c r="G25" s="95">
        <f>'T1 Empty Room'!L29</f>
        <v>4.8525083960057573</v>
      </c>
      <c r="H25" s="95">
        <f>'T2 With Sample'!B19</f>
        <v>4.63025714091577</v>
      </c>
      <c r="I25" s="41">
        <f t="shared" si="4"/>
        <v>6.5485575900370181</v>
      </c>
      <c r="J25" s="36">
        <f t="shared" si="5"/>
        <v>6.8284410687937083</v>
      </c>
      <c r="K25" s="42">
        <f t="shared" si="6"/>
        <v>6.9054094709481486</v>
      </c>
      <c r="L25" s="43">
        <f t="shared" si="7"/>
        <v>1</v>
      </c>
    </row>
    <row r="26" spans="2:12" x14ac:dyDescent="0.2">
      <c r="B26" s="40">
        <v>1000</v>
      </c>
      <c r="C26" s="108">
        <f t="shared" si="0"/>
        <v>3.4210941895699526E-3</v>
      </c>
      <c r="D26" s="109">
        <f t="shared" si="1"/>
        <v>4.0197426571257962E-3</v>
      </c>
      <c r="E26" s="110">
        <f t="shared" si="2"/>
        <v>7.8773604826323188E-4</v>
      </c>
      <c r="F26" s="111">
        <f t="shared" si="3"/>
        <v>9.2557995199701339E-4</v>
      </c>
      <c r="G26" s="95">
        <f>'T1 Empty Room'!L30</f>
        <v>5.0217550787236513</v>
      </c>
      <c r="H26" s="95">
        <f>'T2 With Sample'!B20</f>
        <v>4.6780857293432421</v>
      </c>
      <c r="I26" s="41">
        <f t="shared" si="4"/>
        <v>6.292128764357277</v>
      </c>
      <c r="J26" s="36">
        <f t="shared" si="5"/>
        <v>6.7367584899224857</v>
      </c>
      <c r="K26" s="42">
        <f>7*($C$6/200)^(2/3)</f>
        <v>7.4365948148672363</v>
      </c>
      <c r="L26" s="43">
        <f t="shared" si="7"/>
        <v>1</v>
      </c>
    </row>
    <row r="27" spans="2:12" x14ac:dyDescent="0.2">
      <c r="B27" s="40">
        <v>1250</v>
      </c>
      <c r="C27" s="108">
        <f t="shared" si="0"/>
        <v>3.5161893553934324E-3</v>
      </c>
      <c r="D27" s="109">
        <f t="shared" si="1"/>
        <v>4.116551098889169E-3</v>
      </c>
      <c r="E27" s="110">
        <f t="shared" si="2"/>
        <v>8.0963251938732602E-4</v>
      </c>
      <c r="F27" s="111">
        <f t="shared" si="3"/>
        <v>9.4787091948504579E-4</v>
      </c>
      <c r="G27" s="95">
        <f>'T1 Empty Room'!L31</f>
        <v>4.5912012627136898</v>
      </c>
      <c r="H27" s="95">
        <f>'T2 With Sample'!B21</f>
        <v>4.6540988277756083</v>
      </c>
      <c r="I27" s="41">
        <f t="shared" si="4"/>
        <v>6.9277230704542179</v>
      </c>
      <c r="J27" s="36">
        <f t="shared" si="5"/>
        <v>6.7561312351952019</v>
      </c>
      <c r="K27" s="42">
        <f>7.5*($C$6/200)^(2/3)</f>
        <v>7.9677801587863248</v>
      </c>
      <c r="L27" s="43">
        <f t="shared" si="7"/>
        <v>1</v>
      </c>
    </row>
    <row r="28" spans="2:12" x14ac:dyDescent="0.2">
      <c r="B28" s="40">
        <v>1600</v>
      </c>
      <c r="C28" s="108">
        <f t="shared" si="0"/>
        <v>3.6811716596194784E-3</v>
      </c>
      <c r="D28" s="109">
        <f t="shared" si="1"/>
        <v>4.2810857701593413E-3</v>
      </c>
      <c r="E28" s="110">
        <f t="shared" si="2"/>
        <v>8.4762109881919622E-4</v>
      </c>
      <c r="F28" s="111">
        <f t="shared" si="3"/>
        <v>9.8575642761978329E-4</v>
      </c>
      <c r="G28" s="95">
        <f>'T1 Empty Room'!L32</f>
        <v>4.4907178569242427</v>
      </c>
      <c r="H28" s="95">
        <f>'T2 With Sample'!B22</f>
        <v>4.2886789019425597</v>
      </c>
      <c r="I28" s="41">
        <f t="shared" si="4"/>
        <v>7.0653281923222213</v>
      </c>
      <c r="J28" s="36">
        <f t="shared" si="5"/>
        <v>7.3693537568896321</v>
      </c>
      <c r="K28" s="42">
        <f>8*($C$6/200)^(2/3)</f>
        <v>8.4989655027054134</v>
      </c>
      <c r="L28" s="43">
        <f t="shared" si="7"/>
        <v>1</v>
      </c>
    </row>
    <row r="29" spans="2:12" x14ac:dyDescent="0.2">
      <c r="B29" s="40">
        <v>2000</v>
      </c>
      <c r="C29" s="108">
        <f t="shared" si="0"/>
        <v>3.9172769354775313E-3</v>
      </c>
      <c r="D29" s="109">
        <f t="shared" si="1"/>
        <v>4.5145688989613646E-3</v>
      </c>
      <c r="E29" s="110">
        <f t="shared" si="2"/>
        <v>9.0198634767599619E-4</v>
      </c>
      <c r="F29" s="111">
        <f t="shared" si="3"/>
        <v>1.0395179048042979E-3</v>
      </c>
      <c r="G29" s="95">
        <f>'T1 Empty Room'!L33</f>
        <v>3.7215284761818119</v>
      </c>
      <c r="H29" s="95">
        <f>'T2 With Sample'!B23</f>
        <v>4.0574804758836001</v>
      </c>
      <c r="I29" s="41">
        <f t="shared" si="4"/>
        <v>8.6314795799031785</v>
      </c>
      <c r="J29" s="36">
        <f t="shared" si="5"/>
        <v>7.7913744691841265</v>
      </c>
      <c r="K29" s="42">
        <f>9.5*($C$6/200)^(2/3)</f>
        <v>10.092521534462678</v>
      </c>
      <c r="L29" s="43">
        <f t="shared" si="7"/>
        <v>1</v>
      </c>
    </row>
    <row r="30" spans="2:12" x14ac:dyDescent="0.2">
      <c r="B30" s="40">
        <v>2500</v>
      </c>
      <c r="C30" s="108">
        <f t="shared" si="0"/>
        <v>4.2849687373825171E-3</v>
      </c>
      <c r="D30" s="109">
        <f t="shared" si="1"/>
        <v>4.8769912373479553E-3</v>
      </c>
      <c r="E30" s="110">
        <f t="shared" si="2"/>
        <v>9.8665051386425014E-4</v>
      </c>
      <c r="F30" s="111">
        <f t="shared" si="3"/>
        <v>1.1229687321779988E-3</v>
      </c>
      <c r="G30" s="95">
        <f>'T1 Empty Room'!L34</f>
        <v>3.0296121291569138</v>
      </c>
      <c r="H30" s="95">
        <f>'T2 With Sample'!B24</f>
        <v>3.5545872939277139</v>
      </c>
      <c r="I30" s="41">
        <f t="shared" si="4"/>
        <v>10.709065332218078</v>
      </c>
      <c r="J30" s="36">
        <f t="shared" si="5"/>
        <v>8.9494053334248722</v>
      </c>
      <c r="K30" s="42">
        <f>10.5*($C$6/200)^(2/3)</f>
        <v>11.154892222300855</v>
      </c>
      <c r="L30" s="43">
        <f t="shared" si="7"/>
        <v>1</v>
      </c>
    </row>
    <row r="31" spans="2:12" x14ac:dyDescent="0.2">
      <c r="B31" s="40">
        <v>3150</v>
      </c>
      <c r="C31" s="108">
        <f t="shared" si="0"/>
        <v>4.8842963418296434E-3</v>
      </c>
      <c r="D31" s="109">
        <f t="shared" si="1"/>
        <v>5.4669239249714825E-3</v>
      </c>
      <c r="E31" s="110">
        <f t="shared" si="2"/>
        <v>1.1246507946462286E-3</v>
      </c>
      <c r="F31" s="111">
        <f t="shared" si="3"/>
        <v>1.2588057534171835E-3</v>
      </c>
      <c r="G31" s="95">
        <f>'T1 Empty Room'!L35</f>
        <v>2.612133624958874</v>
      </c>
      <c r="H31" s="95">
        <f>'T2 With Sample'!B25</f>
        <v>2.8435072222906279</v>
      </c>
      <c r="I31" s="41">
        <f t="shared" si="4"/>
        <v>12.437865648727636</v>
      </c>
      <c r="J31" s="36">
        <f t="shared" si="5"/>
        <v>11.314403650871622</v>
      </c>
      <c r="K31" s="42">
        <f>12*($C$6/200)^(2/3)</f>
        <v>12.74844825405812</v>
      </c>
      <c r="L31" s="43">
        <f t="shared" si="7"/>
        <v>1</v>
      </c>
    </row>
    <row r="32" spans="2:12" x14ac:dyDescent="0.2">
      <c r="B32" s="40">
        <v>4000</v>
      </c>
      <c r="C32" s="108">
        <f t="shared" si="0"/>
        <v>5.8755403087299317E-3</v>
      </c>
      <c r="D32" s="109">
        <f t="shared" si="1"/>
        <v>6.4420790773100992E-3</v>
      </c>
      <c r="E32" s="110">
        <f t="shared" si="2"/>
        <v>1.3528931528167174E-3</v>
      </c>
      <c r="F32" s="111">
        <f t="shared" si="3"/>
        <v>1.4833435251303071E-3</v>
      </c>
      <c r="G32" s="95">
        <f>'T1 Empty Room'!L36</f>
        <v>2.0545380292547688</v>
      </c>
      <c r="H32" s="95">
        <f>'T2 With Sample'!B26</f>
        <v>2.19917769587172</v>
      </c>
      <c r="I32" s="41">
        <f t="shared" si="4"/>
        <v>15.88090439131112</v>
      </c>
      <c r="J32" s="36">
        <f t="shared" si="5"/>
        <v>14.75575720593962</v>
      </c>
      <c r="K32" s="42">
        <f>13*($C$6/200)^(2/3)</f>
        <v>13.810818941896297</v>
      </c>
      <c r="L32" s="43">
        <f t="shared" si="7"/>
        <v>0</v>
      </c>
    </row>
    <row r="33" spans="2:12" ht="14.45" customHeight="1" thickBot="1" x14ac:dyDescent="0.25">
      <c r="B33" s="44">
        <v>5000</v>
      </c>
      <c r="C33" s="112">
        <f t="shared" si="0"/>
        <v>7.3431229953723198E-3</v>
      </c>
      <c r="D33" s="113">
        <f t="shared" si="1"/>
        <v>7.8855260307631007E-3</v>
      </c>
      <c r="E33" s="114">
        <f t="shared" si="2"/>
        <v>1.6908165545166088E-3</v>
      </c>
      <c r="F33" s="115">
        <f t="shared" si="3"/>
        <v>1.8157094688851622E-3</v>
      </c>
      <c r="G33" s="96">
        <f>'T1 Empty Room'!L37</f>
        <v>1.786361641005902</v>
      </c>
      <c r="H33" s="96">
        <f>'T2 With Sample'!B27</f>
        <v>1.8723404038729869</v>
      </c>
      <c r="I33" s="45">
        <f t="shared" si="4"/>
        <v>18.146911549017638</v>
      </c>
      <c r="J33" s="39">
        <f t="shared" si="5"/>
        <v>17.267207740097778</v>
      </c>
      <c r="K33" s="46">
        <f>14*($C$6/200)^(2/3)</f>
        <v>14.873189629734473</v>
      </c>
      <c r="L33" s="43">
        <f t="shared" si="7"/>
        <v>0</v>
      </c>
    </row>
    <row r="34" spans="2:12" ht="14.45" customHeight="1" thickBot="1" x14ac:dyDescent="0.25">
      <c r="H34" s="97"/>
      <c r="L34" s="55" t="b">
        <f>IF(SUM(L16:L33)=18,TRUE,FALSE)</f>
        <v>0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7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19" customWidth="1"/>
    <col min="2" max="2" width="8.7109375" style="119" customWidth="1"/>
    <col min="3" max="3" width="7.85546875" style="119" customWidth="1"/>
    <col min="4" max="4" width="9.140625" style="119" customWidth="1"/>
    <col min="5" max="5" width="7.7109375" style="119" customWidth="1"/>
    <col min="6" max="7" width="9.140625" style="119" customWidth="1"/>
    <col min="8" max="8" width="11.7109375" style="119" customWidth="1"/>
    <col min="9" max="9" width="14.5703125" style="119" customWidth="1"/>
    <col min="10" max="10" width="9.140625" style="119" customWidth="1"/>
    <col min="11" max="11" width="9.7109375" style="119" bestFit="1" customWidth="1"/>
    <col min="12" max="193" width="9.140625" style="119" customWidth="1"/>
    <col min="194" max="16384" width="9.140625" style="119"/>
  </cols>
  <sheetData>
    <row r="1" spans="1:26" ht="15.6" customHeight="1" x14ac:dyDescent="0.25">
      <c r="A1" s="141" t="s">
        <v>60</v>
      </c>
      <c r="B1" s="142"/>
      <c r="C1" s="142"/>
      <c r="D1" s="142"/>
      <c r="E1" s="142"/>
      <c r="F1" s="142"/>
      <c r="G1" s="142"/>
      <c r="H1" s="142"/>
      <c r="I1" s="142"/>
    </row>
    <row r="2" spans="1:26" x14ac:dyDescent="0.2">
      <c r="A2" s="124"/>
      <c r="B2" s="124"/>
      <c r="C2" s="124"/>
      <c r="D2" s="124"/>
      <c r="E2" s="124"/>
      <c r="F2" s="124"/>
      <c r="G2" s="124"/>
      <c r="H2" s="124"/>
      <c r="I2" s="124"/>
      <c r="K2" s="12"/>
    </row>
    <row r="3" spans="1:26" ht="15" customHeight="1" x14ac:dyDescent="0.25">
      <c r="A3" s="140" t="s">
        <v>61</v>
      </c>
      <c r="B3" s="127"/>
      <c r="C3" s="145" t="s">
        <v>62</v>
      </c>
      <c r="D3" s="126"/>
      <c r="E3" s="127"/>
      <c r="F3" s="124"/>
    </row>
    <row r="4" spans="1:26" ht="15" customHeight="1" x14ac:dyDescent="0.25">
      <c r="A4" s="140" t="s">
        <v>63</v>
      </c>
      <c r="B4" s="127"/>
      <c r="C4" s="146">
        <v>44229</v>
      </c>
      <c r="D4" s="126"/>
      <c r="E4" s="127"/>
      <c r="F4" s="124"/>
    </row>
    <row r="5" spans="1:26" ht="15" customHeight="1" x14ac:dyDescent="0.25">
      <c r="A5" s="144" t="s">
        <v>64</v>
      </c>
      <c r="B5" s="127"/>
      <c r="C5" s="145" t="s">
        <v>65</v>
      </c>
      <c r="D5" s="126"/>
      <c r="E5" s="127"/>
      <c r="F5" s="124"/>
    </row>
    <row r="6" spans="1:26" ht="30" customHeight="1" x14ac:dyDescent="0.25">
      <c r="A6" s="76" t="s">
        <v>66</v>
      </c>
      <c r="B6" s="123"/>
      <c r="C6" s="147" t="s">
        <v>67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44" t="s">
        <v>68</v>
      </c>
      <c r="B7" s="127"/>
      <c r="C7" s="145" t="s">
        <v>69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44" t="s">
        <v>70</v>
      </c>
      <c r="B8" s="127"/>
      <c r="C8" s="145" t="s">
        <v>71</v>
      </c>
      <c r="D8" s="126"/>
      <c r="E8" s="127"/>
      <c r="F8" s="56"/>
      <c r="G8" s="148" t="s">
        <v>72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44" t="s">
        <v>73</v>
      </c>
      <c r="B9" s="127"/>
      <c r="C9" s="145">
        <v>15</v>
      </c>
      <c r="D9" s="126"/>
      <c r="E9" s="127"/>
      <c r="F9" s="56"/>
      <c r="G9" s="152" t="s">
        <v>74</v>
      </c>
      <c r="H9" s="127"/>
      <c r="I9" s="85">
        <f>('Initial Parameters'!C3+'Initial Parameters'!C4)/2</f>
        <v>22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40" t="s">
        <v>75</v>
      </c>
      <c r="B10" s="127"/>
      <c r="C10" s="145">
        <f>2.99*3.59</f>
        <v>10.7341</v>
      </c>
      <c r="D10" s="126"/>
      <c r="E10" s="127"/>
      <c r="F10" s="56"/>
      <c r="G10" s="152" t="s">
        <v>76</v>
      </c>
      <c r="H10" s="127"/>
      <c r="I10" s="85">
        <f>('Initial Parameters'!D3+'Initial Parameters'!D4)/2</f>
        <v>0.47799999999999998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40" t="s">
        <v>77</v>
      </c>
      <c r="B11" s="127"/>
      <c r="C11" s="145" t="s">
        <v>78</v>
      </c>
      <c r="D11" s="126"/>
      <c r="E11" s="127"/>
      <c r="F11" s="56"/>
      <c r="G11" s="152" t="s">
        <v>79</v>
      </c>
      <c r="H11" s="127"/>
      <c r="I11" s="85">
        <f>('Initial Parameters'!E3+'Initial Parameters'!E4)/2</f>
        <v>100.5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43"/>
      <c r="B13" s="142"/>
      <c r="C13" s="142"/>
      <c r="D13" s="142"/>
      <c r="T13" s="11"/>
      <c r="U13" s="11"/>
      <c r="V13" s="11"/>
      <c r="W13" s="11"/>
      <c r="X13" s="11"/>
      <c r="Y13" s="11"/>
    </row>
    <row r="14" spans="1:26" ht="15" customHeight="1" x14ac:dyDescent="0.25">
      <c r="A14" s="150" t="s">
        <v>80</v>
      </c>
      <c r="B14" s="126"/>
      <c r="C14" s="151" t="str">
        <f>C5</f>
        <v>C Max tec</v>
      </c>
      <c r="D14" s="127"/>
      <c r="Z14" s="11"/>
    </row>
    <row r="15" spans="1:26" ht="30.6" customHeight="1" x14ac:dyDescent="0.2">
      <c r="A15" s="18" t="s">
        <v>81</v>
      </c>
      <c r="B15" s="18" t="s">
        <v>82</v>
      </c>
      <c r="C15" s="18" t="s">
        <v>83</v>
      </c>
      <c r="D15" s="18" t="s">
        <v>84</v>
      </c>
    </row>
    <row r="16" spans="1:26" x14ac:dyDescent="0.2">
      <c r="A16" s="13">
        <v>100</v>
      </c>
      <c r="B16" s="120">
        <f>'Initial Parameters'!G16</f>
        <v>4.1060302368137913</v>
      </c>
      <c r="C16" s="120">
        <f>'Initial Parameters'!H16</f>
        <v>4.0812954670880153</v>
      </c>
      <c r="D16" s="120">
        <f>('Absorption Area'!C6-'Absorption Area'!B6)/$C$10</f>
        <v>8.6252342898333698E-3</v>
      </c>
    </row>
    <row r="17" spans="1:6" x14ac:dyDescent="0.2">
      <c r="A17" s="13">
        <v>125</v>
      </c>
      <c r="B17" s="120">
        <f>'Initial Parameters'!G17</f>
        <v>4.4832567766417224</v>
      </c>
      <c r="C17" s="120">
        <f>'Initial Parameters'!H17</f>
        <v>4.5531675528970288</v>
      </c>
      <c r="D17" s="120">
        <f>('Absorption Area'!C7-'Absorption Area'!B7)/$C$10</f>
        <v>-1.0223746385436662E-2</v>
      </c>
    </row>
    <row r="18" spans="1:6" x14ac:dyDescent="0.2">
      <c r="A18" s="13">
        <v>160</v>
      </c>
      <c r="B18" s="120">
        <f>'Initial Parameters'!G18</f>
        <v>6.0128078572429331</v>
      </c>
      <c r="C18" s="120">
        <f>'Initial Parameters'!H18</f>
        <v>5.5864576334377709</v>
      </c>
      <c r="D18" s="120">
        <f>('Absorption Area'!C8-'Absorption Area'!B8)/$C$10</f>
        <v>3.9283998776386414E-2</v>
      </c>
    </row>
    <row r="19" spans="1:6" x14ac:dyDescent="0.2">
      <c r="A19" s="13">
        <v>200</v>
      </c>
      <c r="B19" s="120">
        <f>'Initial Parameters'!G19</f>
        <v>5.6677015101982171</v>
      </c>
      <c r="C19" s="120">
        <f>'Initial Parameters'!H19</f>
        <v>5.2384556963518891</v>
      </c>
      <c r="D19" s="120">
        <f>('Absorption Area'!C9-'Absorption Area'!B9)/$C$10</f>
        <v>4.3744134785099677E-2</v>
      </c>
    </row>
    <row r="20" spans="1:6" x14ac:dyDescent="0.2">
      <c r="A20" s="13">
        <v>250</v>
      </c>
      <c r="B20" s="120">
        <f>'Initial Parameters'!G20</f>
        <v>5.7411484027627013</v>
      </c>
      <c r="C20" s="120">
        <f>'Initial Parameters'!H20</f>
        <v>5.2038127235466076</v>
      </c>
      <c r="D20" s="120">
        <f>('Absorption Area'!C10-'Absorption Area'!B10)/$C$10</f>
        <v>5.4130224543261191E-2</v>
      </c>
    </row>
    <row r="21" spans="1:6" x14ac:dyDescent="0.2">
      <c r="A21" s="13">
        <v>315</v>
      </c>
      <c r="B21" s="120">
        <f>'Initial Parameters'!G21</f>
        <v>5.8212438540426774</v>
      </c>
      <c r="C21" s="120">
        <f>'Initial Parameters'!H21</f>
        <v>6.073993977261062</v>
      </c>
      <c r="D21" s="120">
        <f>('Absorption Area'!C11-'Absorption Area'!B11)/$C$10</f>
        <v>-2.9444228612745579E-2</v>
      </c>
    </row>
    <row r="22" spans="1:6" x14ac:dyDescent="0.2">
      <c r="A22" s="13">
        <v>400</v>
      </c>
      <c r="B22" s="120">
        <f>'Initial Parameters'!G22</f>
        <v>5.5547856158030227</v>
      </c>
      <c r="C22" s="120">
        <f>'Initial Parameters'!H22</f>
        <v>5.2392675255682049</v>
      </c>
      <c r="D22" s="120">
        <f>('Absorption Area'!C12-'Absorption Area'!B12)/$C$10</f>
        <v>2.9336851010346027E-2</v>
      </c>
    </row>
    <row r="23" spans="1:6" x14ac:dyDescent="0.2">
      <c r="A23" s="13">
        <v>500</v>
      </c>
      <c r="B23" s="120">
        <f>'Initial Parameters'!G23</f>
        <v>5.3104455762002098</v>
      </c>
      <c r="C23" s="120">
        <f>'Initial Parameters'!H23</f>
        <v>4.7430302763307806</v>
      </c>
      <c r="D23" s="120">
        <f>('Absorption Area'!C13-'Absorption Area'!B13)/$C$10</f>
        <v>6.7612398125670353E-2</v>
      </c>
    </row>
    <row r="24" spans="1:6" x14ac:dyDescent="0.2">
      <c r="A24" s="13">
        <v>630</v>
      </c>
      <c r="B24" s="120">
        <f>'Initial Parameters'!G24</f>
        <v>4.9648834151179093</v>
      </c>
      <c r="C24" s="120">
        <f>'Initial Parameters'!H24</f>
        <v>4.5333937742167301</v>
      </c>
      <c r="D24" s="120">
        <f>('Absorption Area'!C14-'Absorption Area'!B14)/$C$10</f>
        <v>5.6635836143427744E-2</v>
      </c>
    </row>
    <row r="25" spans="1:6" x14ac:dyDescent="0.2">
      <c r="A25" s="13">
        <v>800</v>
      </c>
      <c r="B25" s="120">
        <f>'Initial Parameters'!G25</f>
        <v>4.8525083960057573</v>
      </c>
      <c r="C25" s="120">
        <f>'Initial Parameters'!H25</f>
        <v>4.63025714091577</v>
      </c>
      <c r="D25" s="120">
        <f>('Absorption Area'!C15-'Absorption Area'!B15)/$C$10</f>
        <v>2.6074238059706E-2</v>
      </c>
    </row>
    <row r="26" spans="1:6" x14ac:dyDescent="0.2">
      <c r="A26" s="13">
        <v>1000</v>
      </c>
      <c r="B26" s="120">
        <f>'Initial Parameters'!G26</f>
        <v>5.0217550787236513</v>
      </c>
      <c r="C26" s="120">
        <f>'Initial Parameters'!H26</f>
        <v>4.6780857293432421</v>
      </c>
      <c r="D26" s="120">
        <f>('Absorption Area'!C16-'Absorption Area'!B16)/$C$10</f>
        <v>4.1422170984545398E-2</v>
      </c>
    </row>
    <row r="27" spans="1:6" x14ac:dyDescent="0.2">
      <c r="A27" s="13">
        <v>1250</v>
      </c>
      <c r="B27" s="120">
        <f>'Initial Parameters'!G27</f>
        <v>4.5912012627136898</v>
      </c>
      <c r="C27" s="120">
        <f>'Initial Parameters'!H27</f>
        <v>4.6540988277756083</v>
      </c>
      <c r="D27" s="120">
        <f>('Absorption Area'!C17-'Absorption Area'!B17)/$C$10</f>
        <v>-1.598567511566093E-2</v>
      </c>
    </row>
    <row r="28" spans="1:6" x14ac:dyDescent="0.2">
      <c r="A28" s="13">
        <v>1600</v>
      </c>
      <c r="B28" s="120">
        <f>'Initial Parameters'!G28</f>
        <v>4.4907178569242427</v>
      </c>
      <c r="C28" s="120">
        <f>'Initial Parameters'!H28</f>
        <v>4.2886789019425597</v>
      </c>
      <c r="D28" s="120">
        <f>('Absorption Area'!C18-'Absorption Area'!B18)/$C$10</f>
        <v>2.8323340062735656E-2</v>
      </c>
    </row>
    <row r="29" spans="1:6" x14ac:dyDescent="0.2">
      <c r="A29" s="13">
        <v>2000</v>
      </c>
      <c r="B29" s="120">
        <f>'Initial Parameters'!G29</f>
        <v>3.7215284761818119</v>
      </c>
      <c r="C29" s="120">
        <f>'Initial Parameters'!H29</f>
        <v>4.0574804758836001</v>
      </c>
      <c r="D29" s="120">
        <f>('Absorption Area'!C19-'Absorption Area'!B19)/$C$10</f>
        <v>-7.8265072127057883E-2</v>
      </c>
    </row>
    <row r="30" spans="1:6" x14ac:dyDescent="0.2">
      <c r="A30" s="13">
        <v>2500</v>
      </c>
      <c r="B30" s="120">
        <f>'Initial Parameters'!G30</f>
        <v>3.0296121291569138</v>
      </c>
      <c r="C30" s="120">
        <f>'Initial Parameters'!H30</f>
        <v>3.5545872939277139</v>
      </c>
      <c r="D30" s="120">
        <f>('Absorption Area'!C20-'Absorption Area'!B20)/$C$10</f>
        <v>-0.16393176873638271</v>
      </c>
    </row>
    <row r="31" spans="1:6" x14ac:dyDescent="0.2">
      <c r="A31" s="13">
        <v>3150</v>
      </c>
      <c r="B31" s="120">
        <f>'Initial Parameters'!G31</f>
        <v>2.612133624958874</v>
      </c>
      <c r="C31" s="120">
        <f>'Initial Parameters'!H31</f>
        <v>2.8435072222906279</v>
      </c>
      <c r="D31" s="120">
        <f>('Absorption Area'!C21-'Absorption Area'!B21)/$C$10</f>
        <v>-0.10466289654987504</v>
      </c>
    </row>
    <row r="32" spans="1:6" x14ac:dyDescent="0.2">
      <c r="A32" s="50">
        <v>4000</v>
      </c>
      <c r="B32" s="54">
        <f>'Initial Parameters'!G32</f>
        <v>2.0545380292547688</v>
      </c>
      <c r="C32" s="54">
        <f>'Initial Parameters'!H32</f>
        <v>2.19917769587172</v>
      </c>
      <c r="D32" s="54">
        <f>('Absorption Area'!C22-'Absorption Area'!B22)/$C$10</f>
        <v>-0.10481989038405638</v>
      </c>
      <c r="F32" s="52"/>
    </row>
    <row r="33" spans="1:8" x14ac:dyDescent="0.2">
      <c r="A33" s="13">
        <v>5000</v>
      </c>
      <c r="B33" s="120">
        <f>'Initial Parameters'!G33</f>
        <v>1.786361641005902</v>
      </c>
      <c r="C33" s="120">
        <f>'Initial Parameters'!H33</f>
        <v>1.8723404038729869</v>
      </c>
      <c r="D33" s="120">
        <f>('Absorption Area'!C23-'Absorption Area'!B23)/$C$10</f>
        <v>-8.195412833119313E-2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85</v>
      </c>
    </row>
    <row r="37" spans="1:8" ht="15" customHeight="1" x14ac:dyDescent="0.25">
      <c r="A37" s="149" t="s">
        <v>86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56</v>
      </c>
      <c r="B38" s="121">
        <v>125</v>
      </c>
      <c r="C38" s="121">
        <v>250</v>
      </c>
      <c r="D38" s="121">
        <v>500</v>
      </c>
      <c r="E38" s="121">
        <v>1000</v>
      </c>
      <c r="F38" s="121">
        <v>2000</v>
      </c>
      <c r="G38" s="121">
        <v>4000</v>
      </c>
    </row>
    <row r="39" spans="1:8" ht="15" customHeight="1" x14ac:dyDescent="0.2">
      <c r="A39" s="15" t="s">
        <v>87</v>
      </c>
      <c r="B39" s="120">
        <f>IF( ROUND(ROUND((D16+D17+D18)/3,2)/0.05, 0 )*0.05 &gt; 1, 1, ROUND(ROUND((D16+D17+D18)/3,2)/0.05, 0 )*0.05 )</f>
        <v>0</v>
      </c>
      <c r="C39" s="120">
        <f>IF( ROUND(ROUND((D19+D20+D21)/3,2)/0.05, 0 )*0.05 &gt; 1, 1, ROUND(ROUND((D19+D20+D21)/3,2)/0.05, 0 )*0.05 )</f>
        <v>0</v>
      </c>
      <c r="D39" s="120">
        <f>IF( ROUND(ROUND((SUM(D22:D24))/3,2)/0.05, 0 )*0.05 &gt; 1, 1, ROUND(ROUND((SUM(D22:D24))/3,2)/0.05, 0 )*0.05 )</f>
        <v>0.05</v>
      </c>
      <c r="E39" s="120">
        <f>IF( ROUND(ROUND((SUM(D25:D27))/3,2)/0.05, 0 )*0.05 &gt; 1, 1, ROUND(ROUND((SUM(D25:D27))/3,2)/0.05, 0 )*0.05 )</f>
        <v>0</v>
      </c>
      <c r="F39" s="120">
        <f>IF( ROUND(ROUND((SUM(D28:D30))/3,2)/0.05, 0 )*0.05 &gt; 1, 1, ROUND(ROUND((SUM(D28:D30))/3,2)/0.05, 0 )*0.05 )</f>
        <v>-0.05</v>
      </c>
      <c r="G39" s="120">
        <f>IF( ROUND(ROUND((SUM(D31:D33))/3,2)/0.05, 0 )*0.05 &gt; 1, 1, ROUND(ROUND((SUM(D31:D33))/3,2)/0.05, 0 )*0.05 )</f>
        <v>-0.1</v>
      </c>
    </row>
    <row r="42" spans="1:8" x14ac:dyDescent="0.2">
      <c r="A42" s="76" t="s">
        <v>88</v>
      </c>
      <c r="B42" s="76"/>
      <c r="C42" s="76"/>
      <c r="D42" s="77"/>
    </row>
    <row r="43" spans="1:8" ht="11.45" customHeight="1" x14ac:dyDescent="0.25">
      <c r="A43" s="156" t="s">
        <v>89</v>
      </c>
      <c r="B43" s="127"/>
      <c r="C43" s="153">
        <f>'Background calcs'!Q3</f>
        <v>0.24999999999999989</v>
      </c>
      <c r="D43" s="127"/>
    </row>
    <row r="44" spans="1:8" ht="15" customHeight="1" x14ac:dyDescent="0.25">
      <c r="A44" s="76" t="s">
        <v>90</v>
      </c>
      <c r="B44" s="74"/>
      <c r="C44" s="154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91</v>
      </c>
      <c r="B45" s="74"/>
      <c r="C45" s="155" t="str">
        <f>IF( 'Output for Report'!C43&gt;=0.9, "A", IF( 'Output for Report'!C43&gt;=0.8, "B", IF( 'Output for Report'!C43&gt;=0.6, "C", IF( 'Output for Report'!C43&gt;=0.3, "D", IF( 'Output for Report'!C43&gt;=0.1, "E", "Not Classifiable" ) ) ) ) )</f>
        <v>E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57" t="s">
        <v>92</v>
      </c>
      <c r="B48" s="142"/>
      <c r="C48" s="142"/>
      <c r="D48" s="142"/>
    </row>
    <row r="49" spans="1:8" ht="15" customHeight="1" x14ac:dyDescent="0.25">
      <c r="A49" s="76" t="s">
        <v>93</v>
      </c>
      <c r="B49" s="153">
        <f>ROUND((D20+D23+D26+D29)/(4*0.05),0)*0.05</f>
        <v>0</v>
      </c>
      <c r="C49" s="127"/>
      <c r="F49" s="13" t="s">
        <v>94</v>
      </c>
      <c r="G49" s="84">
        <f>(D20+D23+D26+D29)/4</f>
        <v>2.1224930381604765E-2</v>
      </c>
    </row>
    <row r="50" spans="1:8" ht="15" customHeight="1" x14ac:dyDescent="0.25">
      <c r="A50" s="74" t="s">
        <v>95</v>
      </c>
      <c r="B50" s="153">
        <f>AVERAGE(D23:D33)</f>
        <v>-2.9959222533467358E-2</v>
      </c>
      <c r="C50" s="127"/>
    </row>
    <row r="51" spans="1:8" x14ac:dyDescent="0.2">
      <c r="A51" s="56" t="s">
        <v>96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1" t="s">
        <v>97</v>
      </c>
      <c r="G79" s="142"/>
      <c r="H79" s="142"/>
    </row>
  </sheetData>
  <mergeCells count="34">
    <mergeCell ref="F79:H79"/>
    <mergeCell ref="B49:C49"/>
    <mergeCell ref="B50:C50"/>
    <mergeCell ref="C43:D43"/>
    <mergeCell ref="C44:D44"/>
    <mergeCell ref="C45:D45"/>
    <mergeCell ref="A43:B43"/>
    <mergeCell ref="A48:D4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98</v>
      </c>
      <c r="B4" s="126"/>
      <c r="C4" s="127"/>
    </row>
    <row r="5" spans="1:3" ht="20.45" customHeight="1" x14ac:dyDescent="0.25">
      <c r="A5" s="18" t="s">
        <v>81</v>
      </c>
      <c r="B5" s="122" t="s">
        <v>99</v>
      </c>
      <c r="C5" s="122" t="s">
        <v>100</v>
      </c>
    </row>
    <row r="6" spans="1:3" x14ac:dyDescent="0.25">
      <c r="A6" s="13">
        <v>100</v>
      </c>
      <c r="B6" s="14">
        <f>'Initial Parameters'!I16</f>
        <v>8.026531857693767</v>
      </c>
      <c r="C6" s="14">
        <f>'Initial Parameters'!J16</f>
        <v>8.1191159850842674</v>
      </c>
    </row>
    <row r="7" spans="1:3" x14ac:dyDescent="0.25">
      <c r="A7" s="13">
        <v>125</v>
      </c>
      <c r="B7" s="14">
        <f>'Initial Parameters'!I17</f>
        <v>7.2635651125445602</v>
      </c>
      <c r="C7" s="14">
        <f>'Initial Parameters'!J17</f>
        <v>7.1538223964686445</v>
      </c>
    </row>
    <row r="8" spans="1:3" x14ac:dyDescent="0.25">
      <c r="A8" s="13">
        <v>160</v>
      </c>
      <c r="B8" s="14">
        <f>'Initial Parameters'!I18</f>
        <v>5.238072461395868</v>
      </c>
      <c r="C8" s="14">
        <f>'Initial Parameters'!J18</f>
        <v>5.6597508326614774</v>
      </c>
    </row>
    <row r="9" spans="1:3" x14ac:dyDescent="0.25">
      <c r="A9" s="13">
        <v>200</v>
      </c>
      <c r="B9" s="14">
        <f>'Initial Parameters'!I19</f>
        <v>5.5703581685414552</v>
      </c>
      <c r="C9" s="14">
        <f>'Initial Parameters'!J19</f>
        <v>6.0399120857381936</v>
      </c>
    </row>
    <row r="10" spans="1:3" x14ac:dyDescent="0.25">
      <c r="A10" s="13">
        <v>250</v>
      </c>
      <c r="B10" s="14">
        <f>'Initial Parameters'!I20</f>
        <v>5.4752521135099297</v>
      </c>
      <c r="C10" s="14">
        <f>'Initial Parameters'!J20</f>
        <v>6.0562913567797496</v>
      </c>
    </row>
    <row r="11" spans="1:3" x14ac:dyDescent="0.25">
      <c r="A11" s="13">
        <v>315</v>
      </c>
      <c r="B11" s="14">
        <f>'Initial Parameters'!I21</f>
        <v>5.3795614031429864</v>
      </c>
      <c r="C11" s="14">
        <f>'Initial Parameters'!J21</f>
        <v>5.0635041087909141</v>
      </c>
    </row>
    <row r="12" spans="1:3" x14ac:dyDescent="0.25">
      <c r="A12" s="13">
        <v>400</v>
      </c>
      <c r="B12" s="14">
        <f>'Initial Parameters'!I22</f>
        <v>5.6595424447075793</v>
      </c>
      <c r="C12" s="14">
        <f>'Initial Parameters'!J22</f>
        <v>5.9744471371377346</v>
      </c>
    </row>
    <row r="13" spans="1:3" x14ac:dyDescent="0.25">
      <c r="A13" s="13">
        <v>500</v>
      </c>
      <c r="B13" s="14">
        <f>'Initial Parameters'!I23</f>
        <v>5.9428550029814193</v>
      </c>
      <c r="C13" s="14">
        <f>'Initial Parameters'!J23</f>
        <v>6.6686132457021774</v>
      </c>
    </row>
    <row r="14" spans="1:3" x14ac:dyDescent="0.25">
      <c r="A14" s="13">
        <v>630</v>
      </c>
      <c r="B14" s="14">
        <f>'Initial Parameters'!I24</f>
        <v>6.3948074002165729</v>
      </c>
      <c r="C14" s="14">
        <f>'Initial Parameters'!J24</f>
        <v>7.0027421289637406</v>
      </c>
    </row>
    <row r="15" spans="1:3" x14ac:dyDescent="0.25">
      <c r="A15" s="13">
        <v>800</v>
      </c>
      <c r="B15" s="14">
        <f>'Initial Parameters'!I25</f>
        <v>6.5485575900370181</v>
      </c>
      <c r="C15" s="14">
        <f>'Initial Parameters'!J25</f>
        <v>6.8284410687937083</v>
      </c>
    </row>
    <row r="16" spans="1:3" x14ac:dyDescent="0.25">
      <c r="A16" s="13">
        <v>1000</v>
      </c>
      <c r="B16" s="14">
        <f>'Initial Parameters'!I26</f>
        <v>6.292128764357277</v>
      </c>
      <c r="C16" s="14">
        <f>'Initial Parameters'!J26</f>
        <v>6.7367584899224857</v>
      </c>
    </row>
    <row r="17" spans="1:3" x14ac:dyDescent="0.25">
      <c r="A17" s="13">
        <v>1250</v>
      </c>
      <c r="B17" s="14">
        <f>'Initial Parameters'!I27</f>
        <v>6.9277230704542179</v>
      </c>
      <c r="C17" s="14">
        <f>'Initial Parameters'!J27</f>
        <v>6.7561312351952019</v>
      </c>
    </row>
    <row r="18" spans="1:3" x14ac:dyDescent="0.25">
      <c r="A18" s="13">
        <v>1600</v>
      </c>
      <c r="B18" s="14">
        <f>'Initial Parameters'!I28</f>
        <v>7.0653281923222213</v>
      </c>
      <c r="C18" s="14">
        <f>'Initial Parameters'!J28</f>
        <v>7.3693537568896321</v>
      </c>
    </row>
    <row r="19" spans="1:3" x14ac:dyDescent="0.25">
      <c r="A19" s="13">
        <v>2000</v>
      </c>
      <c r="B19" s="14">
        <f>'Initial Parameters'!I29</f>
        <v>8.6314795799031785</v>
      </c>
      <c r="C19" s="14">
        <f>'Initial Parameters'!J29</f>
        <v>7.7913744691841265</v>
      </c>
    </row>
    <row r="20" spans="1:3" x14ac:dyDescent="0.25">
      <c r="A20" s="13">
        <v>2500</v>
      </c>
      <c r="B20" s="14">
        <f>'Initial Parameters'!I30</f>
        <v>10.709065332218078</v>
      </c>
      <c r="C20" s="14">
        <f>'Initial Parameters'!J30</f>
        <v>8.9494053334248722</v>
      </c>
    </row>
    <row r="21" spans="1:3" x14ac:dyDescent="0.25">
      <c r="A21" s="13">
        <v>3150</v>
      </c>
      <c r="B21" s="14">
        <f>'Initial Parameters'!I31</f>
        <v>12.437865648727636</v>
      </c>
      <c r="C21" s="14">
        <f>'Initial Parameters'!J31</f>
        <v>11.314403650871622</v>
      </c>
    </row>
    <row r="22" spans="1:3" x14ac:dyDescent="0.25">
      <c r="A22" s="50">
        <v>4000</v>
      </c>
      <c r="B22" s="14">
        <f>'Initial Parameters'!I32</f>
        <v>15.88090439131112</v>
      </c>
      <c r="C22" s="14">
        <f>'Initial Parameters'!J32</f>
        <v>14.75575720593962</v>
      </c>
    </row>
    <row r="23" spans="1:3" x14ac:dyDescent="0.25">
      <c r="A23" s="13">
        <v>5000</v>
      </c>
      <c r="B23" s="14">
        <f>'Initial Parameters'!I33</f>
        <v>18.146911549017638</v>
      </c>
      <c r="C23" s="14">
        <f>'Initial Parameters'!J33</f>
        <v>17.267207740097778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101</v>
      </c>
      <c r="B1" s="4"/>
    </row>
    <row r="2" spans="1:22" x14ac:dyDescent="0.25">
      <c r="A2" t="s">
        <v>102</v>
      </c>
    </row>
    <row r="3" spans="1:22" x14ac:dyDescent="0.25">
      <c r="P3" t="s">
        <v>103</v>
      </c>
      <c r="Q3" s="2">
        <f>1-SUM(N5:N19)</f>
        <v>0.24999999999999989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4.8</v>
      </c>
      <c r="H5" s="2"/>
      <c r="I5" s="2">
        <f>IF(B5-'Output for Report'!C$39&gt;0,B5-'Output for Report'!C$39,0)</f>
        <v>0.8</v>
      </c>
      <c r="J5" s="2">
        <f>IF(C5-'Output for Report'!D$39&gt;0,C5-'Output for Report'!D$39,0)</f>
        <v>0.95</v>
      </c>
      <c r="K5" s="2">
        <f>IF(D5-'Output for Report'!E$39&gt;0,D5-'Output for Report'!E$39,0)</f>
        <v>1</v>
      </c>
      <c r="L5" s="2">
        <f>IF(E5-'Output for Report'!F$39&gt;0,E5-'Output for Report'!F$39,0)</f>
        <v>1.05</v>
      </c>
      <c r="M5" s="2">
        <f>IF(F5-'Output for Report'!G$39&gt;0,F5-'Output for Report'!G$39,0)</f>
        <v>1</v>
      </c>
      <c r="N5" s="2">
        <f t="shared" ref="N5:N19" si="0">IF(SUM(I5:M5)&gt;0.1,0.05,0)</f>
        <v>0.05</v>
      </c>
      <c r="P5" t="s">
        <v>104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4.5499999999999989</v>
      </c>
      <c r="H6" s="2"/>
      <c r="I6" s="2">
        <f>IF(B6-'Output for Report'!C$39&gt;0,B6-'Output for Report'!C$39,0)</f>
        <v>0.75</v>
      </c>
      <c r="J6" s="2">
        <f>IF(C6-'Output for Report'!D$39&gt;0,C6-'Output for Report'!D$39,0)</f>
        <v>0.89999999999999991</v>
      </c>
      <c r="K6" s="2">
        <f>IF(D6-'Output for Report'!E$39&gt;0,D6-'Output for Report'!E$39,0)</f>
        <v>0.95</v>
      </c>
      <c r="L6" s="2">
        <f>IF(E6-'Output for Report'!F$39&gt;0,E6-'Output for Report'!F$39,0)</f>
        <v>1</v>
      </c>
      <c r="M6" s="2">
        <f>IF(F6-'Output for Report'!G$39&gt;0,F6-'Output for Report'!G$39,0)</f>
        <v>0.95</v>
      </c>
      <c r="N6" s="2">
        <f t="shared" si="0"/>
        <v>0.05</v>
      </c>
      <c r="P6" t="s">
        <v>105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4.2999999999999989</v>
      </c>
      <c r="H7" s="2"/>
      <c r="I7" s="2">
        <f>IF(B7-'Output for Report'!C$39&gt;0,B7-'Output for Report'!C$39,0)</f>
        <v>0.7</v>
      </c>
      <c r="J7" s="2">
        <f>IF(C7-'Output for Report'!D$39&gt;0,C7-'Output for Report'!D$39,0)</f>
        <v>0.84999999999999987</v>
      </c>
      <c r="K7" s="2">
        <f>IF(D7-'Output for Report'!E$39&gt;0,D7-'Output for Report'!E$39,0)</f>
        <v>0.89999999999999991</v>
      </c>
      <c r="L7" s="2">
        <f>IF(E7-'Output for Report'!F$39&gt;0,E7-'Output for Report'!F$39,0)</f>
        <v>0.95</v>
      </c>
      <c r="M7" s="2">
        <f>IF(F7-'Output for Report'!G$39&gt;0,F7-'Output for Report'!G$39,0)</f>
        <v>0.89999999999999991</v>
      </c>
      <c r="N7" s="2">
        <f t="shared" si="0"/>
        <v>0.05</v>
      </c>
      <c r="P7" t="s">
        <v>106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4.0499999999999989</v>
      </c>
      <c r="H8" s="2"/>
      <c r="I8" s="2">
        <f>IF(B8-'Output for Report'!C$39&gt;0,B8-'Output for Report'!C$39,0)</f>
        <v>0.64999999999999991</v>
      </c>
      <c r="J8" s="2">
        <f>IF(C8-'Output for Report'!D$39&gt;0,C8-'Output for Report'!D$39,0)</f>
        <v>0.79999999999999982</v>
      </c>
      <c r="K8" s="2">
        <f>IF(D8-'Output for Report'!E$39&gt;0,D8-'Output for Report'!E$39,0)</f>
        <v>0.84999999999999987</v>
      </c>
      <c r="L8" s="2">
        <f>IF(E8-'Output for Report'!F$39&gt;0,E8-'Output for Report'!F$39,0)</f>
        <v>0.89999999999999991</v>
      </c>
      <c r="M8" s="2">
        <f>IF(F8-'Output for Report'!G$39&gt;0,F8-'Output for Report'!G$39,0)</f>
        <v>0.84999999999999987</v>
      </c>
      <c r="N8" s="2">
        <f t="shared" si="0"/>
        <v>0.05</v>
      </c>
      <c r="P8" t="s">
        <v>107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3.7999999999999989</v>
      </c>
      <c r="H9" s="2"/>
      <c r="I9" s="2">
        <f>IF(B9-'Output for Report'!C$39&gt;0,B9-'Output for Report'!C$39,0)</f>
        <v>0.59999999999999987</v>
      </c>
      <c r="J9" s="2">
        <f>IF(C9-'Output for Report'!D$39&gt;0,C9-'Output for Report'!D$39,0)</f>
        <v>0.74999999999999978</v>
      </c>
      <c r="K9" s="2">
        <f>IF(D9-'Output for Report'!E$39&gt;0,D9-'Output for Report'!E$39,0)</f>
        <v>0.79999999999999982</v>
      </c>
      <c r="L9" s="2">
        <f>IF(E9-'Output for Report'!F$39&gt;0,E9-'Output for Report'!F$39,0)</f>
        <v>0.84999999999999987</v>
      </c>
      <c r="M9" s="2">
        <f>IF(F9-'Output for Report'!G$39&gt;0,F9-'Output for Report'!G$39,0)</f>
        <v>0.79999999999999982</v>
      </c>
      <c r="N9" s="2">
        <f t="shared" si="0"/>
        <v>0.05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3.5499999999999989</v>
      </c>
      <c r="H10" s="2"/>
      <c r="I10" s="2">
        <f>IF(B10-'Output for Report'!C$39&gt;0,B10-'Output for Report'!C$39,0)</f>
        <v>0.54999999999999982</v>
      </c>
      <c r="J10" s="2">
        <f>IF(C10-'Output for Report'!D$39&gt;0,C10-'Output for Report'!D$39,0)</f>
        <v>0.69999999999999973</v>
      </c>
      <c r="K10" s="2">
        <f>IF(D10-'Output for Report'!E$39&gt;0,D10-'Output for Report'!E$39,0)</f>
        <v>0.74999999999999978</v>
      </c>
      <c r="L10" s="2">
        <f>IF(E10-'Output for Report'!F$39&gt;0,E10-'Output for Report'!F$39,0)</f>
        <v>0.79999999999999982</v>
      </c>
      <c r="M10" s="2">
        <f>IF(F10-'Output for Report'!G$39&gt;0,F10-'Output for Report'!G$39,0)</f>
        <v>0.74999999999999978</v>
      </c>
      <c r="N10" s="2">
        <f t="shared" si="0"/>
        <v>0.05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3.2999999999999985</v>
      </c>
      <c r="H11" s="2"/>
      <c r="I11" s="2">
        <f>IF(B11-'Output for Report'!C$39&gt;0,B11-'Output for Report'!C$39,0)</f>
        <v>0.49999999999999983</v>
      </c>
      <c r="J11" s="2">
        <f>IF(C11-'Output for Report'!D$39&gt;0,C11-'Output for Report'!D$39,0)</f>
        <v>0.64999999999999969</v>
      </c>
      <c r="K11" s="2">
        <f>IF(D11-'Output for Report'!E$39&gt;0,D11-'Output for Report'!E$39,0)</f>
        <v>0.69999999999999973</v>
      </c>
      <c r="L11" s="2">
        <f>IF(E11-'Output for Report'!F$39&gt;0,E11-'Output for Report'!F$39,0)</f>
        <v>0.74999999999999978</v>
      </c>
      <c r="M11" s="2">
        <f>IF(F11-'Output for Report'!G$39&gt;0,F11-'Output for Report'!G$39,0)</f>
        <v>0.69999999999999973</v>
      </c>
      <c r="N11" s="2">
        <f t="shared" si="0"/>
        <v>0.05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3.0499999999999985</v>
      </c>
      <c r="H12" s="2"/>
      <c r="I12" s="2">
        <f>IF(B12-'Output for Report'!C$39&gt;0,B12-'Output for Report'!C$39,0)</f>
        <v>0.44999999999999984</v>
      </c>
      <c r="J12" s="2">
        <f>IF(C12-'Output for Report'!D$39&gt;0,C12-'Output for Report'!D$39,0)</f>
        <v>0.59999999999999964</v>
      </c>
      <c r="K12" s="2">
        <f>IF(D12-'Output for Report'!E$39&gt;0,D12-'Output for Report'!E$39,0)</f>
        <v>0.64999999999999969</v>
      </c>
      <c r="L12" s="2">
        <f>IF(E12-'Output for Report'!F$39&gt;0,E12-'Output for Report'!F$39,0)</f>
        <v>0.69999999999999973</v>
      </c>
      <c r="M12" s="2">
        <f>IF(F12-'Output for Report'!G$39&gt;0,F12-'Output for Report'!G$39,0)</f>
        <v>0.64999999999999969</v>
      </c>
      <c r="N12" s="2">
        <f t="shared" si="0"/>
        <v>0.05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2.799999999999998</v>
      </c>
      <c r="H13" s="2"/>
      <c r="I13" s="2">
        <f>IF(B13-'Output for Report'!C$39&gt;0,B13-'Output for Report'!C$39,0)</f>
        <v>0.39999999999999986</v>
      </c>
      <c r="J13" s="2">
        <f>IF(C13-'Output for Report'!D$39&gt;0,C13-'Output for Report'!D$39,0)</f>
        <v>0.5499999999999996</v>
      </c>
      <c r="K13" s="2">
        <f>IF(D13-'Output for Report'!E$39&gt;0,D13-'Output for Report'!E$39,0)</f>
        <v>0.59999999999999964</v>
      </c>
      <c r="L13" s="2">
        <f>IF(E13-'Output for Report'!F$39&gt;0,E13-'Output for Report'!F$39,0)</f>
        <v>0.64999999999999969</v>
      </c>
      <c r="M13" s="2">
        <f>IF(F13-'Output for Report'!G$39&gt;0,F13-'Output for Report'!G$39,0)</f>
        <v>0.59999999999999976</v>
      </c>
      <c r="N13" s="2">
        <f t="shared" si="0"/>
        <v>0.05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2.5499999999999985</v>
      </c>
      <c r="H14" s="2"/>
      <c r="I14" s="2">
        <f>IF(B14-'Output for Report'!C$39&gt;0,B14-'Output for Report'!C$39,0)</f>
        <v>0.34999999999999987</v>
      </c>
      <c r="J14" s="2">
        <f>IF(C14-'Output for Report'!D$39&gt;0,C14-'Output for Report'!D$39,0)</f>
        <v>0.49999999999999961</v>
      </c>
      <c r="K14" s="2">
        <f>IF(D14-'Output for Report'!E$39&gt;0,D14-'Output for Report'!E$39,0)</f>
        <v>0.5499999999999996</v>
      </c>
      <c r="L14" s="2">
        <f>IF(E14-'Output for Report'!F$39&gt;0,E14-'Output for Report'!F$39,0)</f>
        <v>0.59999999999999964</v>
      </c>
      <c r="M14" s="2">
        <f>IF(F14-'Output for Report'!G$39&gt;0,F14-'Output for Report'!G$39,0)</f>
        <v>0.54999999999999971</v>
      </c>
      <c r="N14" s="2">
        <f t="shared" si="0"/>
        <v>0.05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2.2999999999999985</v>
      </c>
      <c r="H15" s="2"/>
      <c r="I15" s="2">
        <f>IF(B15-'Output for Report'!C$39&gt;0,B15-'Output for Report'!C$39,0)</f>
        <v>0.29999999999999988</v>
      </c>
      <c r="J15" s="2">
        <f>IF(C15-'Output for Report'!D$39&gt;0,C15-'Output for Report'!D$39,0)</f>
        <v>0.44999999999999962</v>
      </c>
      <c r="K15" s="2">
        <f>IF(D15-'Output for Report'!E$39&gt;0,D15-'Output for Report'!E$39,0)</f>
        <v>0.49999999999999961</v>
      </c>
      <c r="L15" s="2">
        <f>IF(E15-'Output for Report'!F$39&gt;0,E15-'Output for Report'!F$39,0)</f>
        <v>0.5499999999999996</v>
      </c>
      <c r="M15" s="2">
        <f>IF(F15-'Output for Report'!G$39&gt;0,F15-'Output for Report'!G$39,0)</f>
        <v>0.49999999999999978</v>
      </c>
      <c r="N15" s="2">
        <f t="shared" si="0"/>
        <v>0.05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2.0499999999999989</v>
      </c>
      <c r="H16" s="2"/>
      <c r="I16" s="2">
        <f>IF(B16-'Output for Report'!C$39&gt;0,B16-'Output for Report'!C$39,0)</f>
        <v>0.24999999999999989</v>
      </c>
      <c r="J16" s="2">
        <f>IF(C16-'Output for Report'!D$39&gt;0,C16-'Output for Report'!D$39,0)</f>
        <v>0.39999999999999963</v>
      </c>
      <c r="K16" s="2">
        <f>IF(D16-'Output for Report'!E$39&gt;0,D16-'Output for Report'!E$39,0)</f>
        <v>0.44999999999999962</v>
      </c>
      <c r="L16" s="2">
        <f>IF(E16-'Output for Report'!F$39&gt;0,E16-'Output for Report'!F$39,0)</f>
        <v>0.49999999999999961</v>
      </c>
      <c r="M16" s="2">
        <f>IF(F16-'Output for Report'!G$39&gt;0,F16-'Output for Report'!G$39,0)</f>
        <v>0.44999999999999973</v>
      </c>
      <c r="N16" s="2">
        <f t="shared" si="0"/>
        <v>0.05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1.7999999999999987</v>
      </c>
      <c r="H17" s="2"/>
      <c r="I17" s="2">
        <f>IF(B17-'Output for Report'!C$39&gt;0,B17-'Output for Report'!C$39,0)</f>
        <v>0.1999999999999999</v>
      </c>
      <c r="J17" s="2">
        <f>IF(C17-'Output for Report'!D$39&gt;0,C17-'Output for Report'!D$39,0)</f>
        <v>0.34999999999999964</v>
      </c>
      <c r="K17" s="2">
        <f>IF(D17-'Output for Report'!E$39&gt;0,D17-'Output for Report'!E$39,0)</f>
        <v>0.39999999999999963</v>
      </c>
      <c r="L17" s="2">
        <f>IF(E17-'Output for Report'!F$39&gt;0,E17-'Output for Report'!F$39,0)</f>
        <v>0.44999999999999962</v>
      </c>
      <c r="M17" s="2">
        <f>IF(F17-'Output for Report'!G$39&gt;0,F17-'Output for Report'!G$39,0)</f>
        <v>0.3999999999999998</v>
      </c>
      <c r="N17" s="2">
        <f t="shared" si="0"/>
        <v>0.05</v>
      </c>
      <c r="Q17">
        <f t="shared" si="12"/>
        <v>0.84999999999999987</v>
      </c>
      <c r="R17">
        <f t="shared" si="7"/>
        <v>0</v>
      </c>
      <c r="S17">
        <f t="shared" si="8"/>
        <v>0</v>
      </c>
      <c r="T17">
        <f t="shared" si="9"/>
        <v>0</v>
      </c>
      <c r="U17">
        <f t="shared" si="10"/>
        <v>0</v>
      </c>
      <c r="V17">
        <f t="shared" si="11"/>
        <v>0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1.5499999999999987</v>
      </c>
      <c r="H18" s="2"/>
      <c r="I18" s="2">
        <f>IF(B18-'Output for Report'!C$39&gt;0,B18-'Output for Report'!C$39,0)</f>
        <v>0.14999999999999991</v>
      </c>
      <c r="J18" s="2">
        <f>IF(C18-'Output for Report'!D$39&gt;0,C18-'Output for Report'!D$39,0)</f>
        <v>0.29999999999999966</v>
      </c>
      <c r="K18" s="2">
        <f>IF(D18-'Output for Report'!E$39&gt;0,D18-'Output for Report'!E$39,0)</f>
        <v>0.34999999999999964</v>
      </c>
      <c r="L18" s="2">
        <f>IF(E18-'Output for Report'!F$39&gt;0,E18-'Output for Report'!F$39,0)</f>
        <v>0.39999999999999963</v>
      </c>
      <c r="M18" s="2">
        <f>IF(F18-'Output for Report'!G$39&gt;0,F18-'Output for Report'!G$39,0)</f>
        <v>0.34999999999999976</v>
      </c>
      <c r="N18" s="2">
        <f t="shared" si="0"/>
        <v>0.05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1.2999999999999987</v>
      </c>
      <c r="H19" s="2"/>
      <c r="I19" s="2">
        <f>IF(B19-'Output for Report'!C$39&gt;0,B19-'Output for Report'!C$39,0)</f>
        <v>9.9999999999999908E-2</v>
      </c>
      <c r="J19" s="2">
        <f>IF(C19-'Output for Report'!D$39&gt;0,C19-'Output for Report'!D$39,0)</f>
        <v>0.24999999999999967</v>
      </c>
      <c r="K19" s="2">
        <f>IF(D19-'Output for Report'!E$39&gt;0,D19-'Output for Report'!E$39,0)</f>
        <v>0.29999999999999966</v>
      </c>
      <c r="L19" s="2">
        <f>IF(E19-'Output for Report'!F$39&gt;0,E19-'Output for Report'!F$39,0)</f>
        <v>0.34999999999999964</v>
      </c>
      <c r="M19" s="2">
        <f>IF(F19-'Output for Report'!G$39&gt;0,F19-'Output for Report'!G$39,0)</f>
        <v>0.29999999999999982</v>
      </c>
      <c r="N19" s="2">
        <f t="shared" si="0"/>
        <v>0.05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</v>
      </c>
    </row>
    <row r="30" spans="1:22" x14ac:dyDescent="0.25">
      <c r="N30">
        <v>400</v>
      </c>
      <c r="O30">
        <f>(O31-O28)/3+O29</f>
        <v>0</v>
      </c>
    </row>
    <row r="31" spans="1:22" x14ac:dyDescent="0.25">
      <c r="N31">
        <v>500</v>
      </c>
      <c r="O31">
        <f>SUM(S14:S28)</f>
        <v>0</v>
      </c>
    </row>
    <row r="32" spans="1:22" x14ac:dyDescent="0.25">
      <c r="N32">
        <v>630</v>
      </c>
      <c r="O32">
        <f>O31</f>
        <v>0</v>
      </c>
    </row>
    <row r="33" spans="14:15" x14ac:dyDescent="0.25">
      <c r="N33">
        <v>800</v>
      </c>
      <c r="O33">
        <f>O32</f>
        <v>0</v>
      </c>
    </row>
    <row r="34" spans="14:15" x14ac:dyDescent="0.25">
      <c r="N34">
        <v>1000</v>
      </c>
      <c r="O34">
        <f>SUM(T14:T28)</f>
        <v>0</v>
      </c>
    </row>
    <row r="35" spans="14:15" x14ac:dyDescent="0.25">
      <c r="N35">
        <v>1250</v>
      </c>
      <c r="O35">
        <f>O34</f>
        <v>0</v>
      </c>
    </row>
    <row r="36" spans="14:15" x14ac:dyDescent="0.25">
      <c r="N36">
        <v>1600</v>
      </c>
      <c r="O36">
        <f>O35</f>
        <v>0</v>
      </c>
    </row>
    <row r="37" spans="14:15" x14ac:dyDescent="0.25">
      <c r="N37">
        <v>2000</v>
      </c>
      <c r="O37">
        <f>SUM(U14:U28)</f>
        <v>0</v>
      </c>
    </row>
    <row r="38" spans="14:15" x14ac:dyDescent="0.25">
      <c r="N38">
        <v>2500</v>
      </c>
      <c r="O38">
        <f>O37-($O$37-$O$40)/3</f>
        <v>0</v>
      </c>
    </row>
    <row r="39" spans="14:15" x14ac:dyDescent="0.25">
      <c r="N39">
        <v>3150</v>
      </c>
      <c r="O39">
        <f>O38-($O$37-$O$40)/3</f>
        <v>0</v>
      </c>
    </row>
    <row r="40" spans="14:15" x14ac:dyDescent="0.25">
      <c r="N40">
        <v>4000</v>
      </c>
      <c r="O40">
        <f>SUM(V14:V28)</f>
        <v>0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Lab PC</cp:lastModifiedBy>
  <cp:lastPrinted>2020-04-15T03:07:29Z</cp:lastPrinted>
  <dcterms:created xsi:type="dcterms:W3CDTF">2010-07-19T03:02:48Z</dcterms:created>
  <dcterms:modified xsi:type="dcterms:W3CDTF">2021-07-21T00:31:26Z</dcterms:modified>
</cp:coreProperties>
</file>