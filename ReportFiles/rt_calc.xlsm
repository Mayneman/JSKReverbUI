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Python\Reverb-JSK\reverb-tkinter-interface\ReportFiles\"/>
    </mc:Choice>
  </mc:AlternateContent>
  <xr:revisionPtr revIDLastSave="0" documentId="13_ncr:1_{EF033C48-6C05-445F-A5A9-83937E6953F1}" xr6:coauthVersionLast="46" xr6:coauthVersionMax="46" xr10:uidLastSave="{00000000-0000-0000-0000-000000000000}"/>
  <bookViews>
    <workbookView xWindow="-28920" yWindow="2415" windowWidth="29040" windowHeight="15840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8" i="6" l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16" i="6"/>
  <c r="Q17" i="6" s="1"/>
  <c r="Q15" i="6"/>
  <c r="B8" i="6"/>
  <c r="Q7" i="6"/>
  <c r="B7" i="6"/>
  <c r="A7" i="6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F6" i="6"/>
  <c r="F7" i="6" s="1"/>
  <c r="F8" i="6" s="1"/>
  <c r="F9" i="6" s="1"/>
  <c r="E6" i="6"/>
  <c r="D6" i="6"/>
  <c r="D7" i="6" s="1"/>
  <c r="C6" i="6"/>
  <c r="C7" i="6" s="1"/>
  <c r="B6" i="6"/>
  <c r="A6" i="6"/>
  <c r="C29" i="4"/>
  <c r="C28" i="4"/>
  <c r="B21" i="4"/>
  <c r="C16" i="4"/>
  <c r="C14" i="4"/>
  <c r="C10" i="4"/>
  <c r="I9" i="4"/>
  <c r="K33" i="3"/>
  <c r="K32" i="3"/>
  <c r="K31" i="3"/>
  <c r="K30" i="3"/>
  <c r="K29" i="3"/>
  <c r="K28" i="3"/>
  <c r="K27" i="3"/>
  <c r="H27" i="3"/>
  <c r="C27" i="4" s="1"/>
  <c r="K26" i="3"/>
  <c r="H26" i="3"/>
  <c r="C26" i="4" s="1"/>
  <c r="K25" i="3"/>
  <c r="K24" i="3"/>
  <c r="H24" i="3"/>
  <c r="C24" i="4" s="1"/>
  <c r="K23" i="3"/>
  <c r="G23" i="3"/>
  <c r="B23" i="4" s="1"/>
  <c r="K22" i="3"/>
  <c r="K21" i="3"/>
  <c r="K20" i="3"/>
  <c r="G20" i="3"/>
  <c r="B20" i="4" s="1"/>
  <c r="K19" i="3"/>
  <c r="K18" i="3"/>
  <c r="H18" i="3"/>
  <c r="C18" i="4" s="1"/>
  <c r="K17" i="3"/>
  <c r="K16" i="3"/>
  <c r="E4" i="3"/>
  <c r="D4" i="3"/>
  <c r="D10" i="3" s="1"/>
  <c r="C4" i="3"/>
  <c r="E3" i="3"/>
  <c r="D3" i="3"/>
  <c r="I10" i="4" s="1"/>
  <c r="C3" i="3"/>
  <c r="C9" i="3" s="1"/>
  <c r="B27" i="2"/>
  <c r="H33" i="3" s="1"/>
  <c r="C33" i="4" s="1"/>
  <c r="B26" i="2"/>
  <c r="H32" i="3" s="1"/>
  <c r="C32" i="4" s="1"/>
  <c r="B25" i="2"/>
  <c r="H31" i="3" s="1"/>
  <c r="C31" i="4" s="1"/>
  <c r="B24" i="2"/>
  <c r="H30" i="3" s="1"/>
  <c r="C30" i="4" s="1"/>
  <c r="B23" i="2"/>
  <c r="H29" i="3" s="1"/>
  <c r="B22" i="2"/>
  <c r="H28" i="3" s="1"/>
  <c r="B21" i="2"/>
  <c r="B20" i="2"/>
  <c r="B19" i="2"/>
  <c r="H25" i="3" s="1"/>
  <c r="C25" i="4" s="1"/>
  <c r="B18" i="2"/>
  <c r="B17" i="2"/>
  <c r="H23" i="3" s="1"/>
  <c r="C23" i="4" s="1"/>
  <c r="B16" i="2"/>
  <c r="H22" i="3" s="1"/>
  <c r="C22" i="4" s="1"/>
  <c r="B15" i="2"/>
  <c r="H21" i="3" s="1"/>
  <c r="C21" i="4" s="1"/>
  <c r="B14" i="2"/>
  <c r="H20" i="3" s="1"/>
  <c r="C20" i="4" s="1"/>
  <c r="B13" i="2"/>
  <c r="H19" i="3" s="1"/>
  <c r="C19" i="4" s="1"/>
  <c r="B12" i="2"/>
  <c r="B11" i="2"/>
  <c r="H17" i="3" s="1"/>
  <c r="C17" i="4" s="1"/>
  <c r="B10" i="2"/>
  <c r="H16" i="3" s="1"/>
  <c r="L37" i="1"/>
  <c r="G33" i="3" s="1"/>
  <c r="B33" i="4" s="1"/>
  <c r="L36" i="1"/>
  <c r="G32" i="3" s="1"/>
  <c r="B32" i="4" s="1"/>
  <c r="L35" i="1"/>
  <c r="G31" i="3" s="1"/>
  <c r="B31" i="4" s="1"/>
  <c r="L34" i="1"/>
  <c r="G30" i="3" s="1"/>
  <c r="B30" i="4" s="1"/>
  <c r="L33" i="1"/>
  <c r="G29" i="3" s="1"/>
  <c r="B29" i="4" s="1"/>
  <c r="L32" i="1"/>
  <c r="G28" i="3" s="1"/>
  <c r="B28" i="4" s="1"/>
  <c r="L31" i="1"/>
  <c r="G27" i="3" s="1"/>
  <c r="B27" i="4" s="1"/>
  <c r="L30" i="1"/>
  <c r="G26" i="3" s="1"/>
  <c r="B26" i="4" s="1"/>
  <c r="L29" i="1"/>
  <c r="G25" i="3" s="1"/>
  <c r="B25" i="4" s="1"/>
  <c r="L28" i="1"/>
  <c r="G24" i="3" s="1"/>
  <c r="B24" i="4" s="1"/>
  <c r="L27" i="1"/>
  <c r="L26" i="1"/>
  <c r="G22" i="3" s="1"/>
  <c r="B22" i="4" s="1"/>
  <c r="L25" i="1"/>
  <c r="G21" i="3" s="1"/>
  <c r="L24" i="1"/>
  <c r="L23" i="1"/>
  <c r="G19" i="3" s="1"/>
  <c r="B19" i="4" s="1"/>
  <c r="L22" i="1"/>
  <c r="G18" i="3" s="1"/>
  <c r="B18" i="4" s="1"/>
  <c r="L21" i="1"/>
  <c r="G17" i="3" s="1"/>
  <c r="B17" i="4" s="1"/>
  <c r="L20" i="1"/>
  <c r="G16" i="3" s="1"/>
  <c r="B16" i="4" s="1"/>
  <c r="C8" i="6" l="1"/>
  <c r="F10" i="6"/>
  <c r="D11" i="3"/>
  <c r="D12" i="3"/>
  <c r="D24" i="3" s="1"/>
  <c r="F24" i="3" s="1"/>
  <c r="D8" i="6"/>
  <c r="B9" i="6"/>
  <c r="D9" i="3"/>
  <c r="I11" i="4"/>
  <c r="C10" i="3"/>
  <c r="C12" i="3" s="1"/>
  <c r="C11" i="3"/>
  <c r="E7" i="6"/>
  <c r="C17" i="3" l="1"/>
  <c r="E17" i="3" s="1"/>
  <c r="I17" i="3" s="1"/>
  <c r="D28" i="3"/>
  <c r="F28" i="3" s="1"/>
  <c r="D17" i="3"/>
  <c r="F17" i="3" s="1"/>
  <c r="D23" i="3"/>
  <c r="F23" i="3" s="1"/>
  <c r="D16" i="3"/>
  <c r="F16" i="3" s="1"/>
  <c r="D25" i="3"/>
  <c r="F25" i="3" s="1"/>
  <c r="J25" i="3" s="1"/>
  <c r="C15" i="5" s="1"/>
  <c r="C20" i="3"/>
  <c r="E20" i="3" s="1"/>
  <c r="I20" i="3" s="1"/>
  <c r="J23" i="3"/>
  <c r="C13" i="5" s="1"/>
  <c r="J17" i="3"/>
  <c r="C7" i="5" s="1"/>
  <c r="J24" i="3"/>
  <c r="C14" i="5" s="1"/>
  <c r="J16" i="3"/>
  <c r="C6" i="5" s="1"/>
  <c r="J20" i="3"/>
  <c r="C10" i="5" s="1"/>
  <c r="J31" i="3"/>
  <c r="C21" i="5" s="1"/>
  <c r="J28" i="3"/>
  <c r="C18" i="5" s="1"/>
  <c r="J26" i="3"/>
  <c r="C16" i="5" s="1"/>
  <c r="D33" i="3"/>
  <c r="F33" i="3" s="1"/>
  <c r="J33" i="3" s="1"/>
  <c r="C23" i="5" s="1"/>
  <c r="D32" i="3"/>
  <c r="F32" i="3" s="1"/>
  <c r="J32" i="3" s="1"/>
  <c r="C22" i="5" s="1"/>
  <c r="C33" i="3"/>
  <c r="E33" i="3" s="1"/>
  <c r="I33" i="3" s="1"/>
  <c r="C16" i="3"/>
  <c r="E16" i="3" s="1"/>
  <c r="I16" i="3" s="1"/>
  <c r="C28" i="3"/>
  <c r="E28" i="3" s="1"/>
  <c r="I28" i="3" s="1"/>
  <c r="C22" i="3"/>
  <c r="E22" i="3" s="1"/>
  <c r="I22" i="3" s="1"/>
  <c r="D18" i="3"/>
  <c r="F18" i="3" s="1"/>
  <c r="J18" i="3" s="1"/>
  <c r="C8" i="5" s="1"/>
  <c r="D20" i="3"/>
  <c r="F20" i="3" s="1"/>
  <c r="D9" i="6"/>
  <c r="F11" i="6"/>
  <c r="C24" i="3"/>
  <c r="E24" i="3" s="1"/>
  <c r="I24" i="3" s="1"/>
  <c r="E8" i="6"/>
  <c r="D31" i="3"/>
  <c r="F31" i="3" s="1"/>
  <c r="C29" i="3"/>
  <c r="E29" i="3" s="1"/>
  <c r="I29" i="3" s="1"/>
  <c r="C25" i="3"/>
  <c r="E25" i="3" s="1"/>
  <c r="I25" i="3" s="1"/>
  <c r="C30" i="3"/>
  <c r="E30" i="3" s="1"/>
  <c r="I30" i="3" s="1"/>
  <c r="C18" i="3"/>
  <c r="E18" i="3" s="1"/>
  <c r="I18" i="3" s="1"/>
  <c r="D27" i="3"/>
  <c r="F27" i="3" s="1"/>
  <c r="J27" i="3" s="1"/>
  <c r="C17" i="5" s="1"/>
  <c r="D26" i="3"/>
  <c r="F26" i="3" s="1"/>
  <c r="D21" i="3"/>
  <c r="F21" i="3" s="1"/>
  <c r="J21" i="3" s="1"/>
  <c r="C11" i="5" s="1"/>
  <c r="C32" i="3"/>
  <c r="E32" i="3" s="1"/>
  <c r="I32" i="3" s="1"/>
  <c r="C26" i="3"/>
  <c r="E26" i="3" s="1"/>
  <c r="I26" i="3" s="1"/>
  <c r="C21" i="3"/>
  <c r="E21" i="3" s="1"/>
  <c r="I21" i="3" s="1"/>
  <c r="C31" i="3"/>
  <c r="E31" i="3" s="1"/>
  <c r="I31" i="3" s="1"/>
  <c r="D22" i="3"/>
  <c r="F22" i="3" s="1"/>
  <c r="J22" i="3" s="1"/>
  <c r="C12" i="5" s="1"/>
  <c r="C9" i="6"/>
  <c r="B10" i="6"/>
  <c r="C27" i="3"/>
  <c r="E27" i="3" s="1"/>
  <c r="I27" i="3" s="1"/>
  <c r="D19" i="3"/>
  <c r="F19" i="3" s="1"/>
  <c r="J19" i="3" s="1"/>
  <c r="C9" i="5" s="1"/>
  <c r="D29" i="3"/>
  <c r="F29" i="3" s="1"/>
  <c r="J29" i="3" s="1"/>
  <c r="C19" i="5" s="1"/>
  <c r="C23" i="3"/>
  <c r="E23" i="3" s="1"/>
  <c r="I23" i="3" s="1"/>
  <c r="C19" i="3"/>
  <c r="E19" i="3" s="1"/>
  <c r="I19" i="3" s="1"/>
  <c r="D30" i="3"/>
  <c r="F30" i="3" s="1"/>
  <c r="J30" i="3" s="1"/>
  <c r="C20" i="5" s="1"/>
  <c r="D22" i="4" l="1"/>
  <c r="D33" i="4"/>
  <c r="D18" i="4"/>
  <c r="D26" i="4"/>
  <c r="D24" i="4"/>
  <c r="B17" i="5"/>
  <c r="D27" i="4" s="1"/>
  <c r="L27" i="3"/>
  <c r="M31" i="1" s="1"/>
  <c r="D10" i="6"/>
  <c r="B20" i="5"/>
  <c r="D30" i="4" s="1"/>
  <c r="L30" i="3"/>
  <c r="M34" i="1" s="1"/>
  <c r="B19" i="5"/>
  <c r="D29" i="4" s="1"/>
  <c r="L29" i="3"/>
  <c r="M33" i="1" s="1"/>
  <c r="B18" i="5"/>
  <c r="D28" i="4" s="1"/>
  <c r="L28" i="3"/>
  <c r="M32" i="1" s="1"/>
  <c r="B11" i="6"/>
  <c r="B10" i="5"/>
  <c r="D20" i="4" s="1"/>
  <c r="L20" i="3"/>
  <c r="M24" i="1" s="1"/>
  <c r="C10" i="6"/>
  <c r="B6" i="5"/>
  <c r="D16" i="4" s="1"/>
  <c r="B39" i="4" s="1"/>
  <c r="L16" i="3"/>
  <c r="D17" i="4"/>
  <c r="B12" i="5"/>
  <c r="L22" i="3"/>
  <c r="M26" i="1" s="1"/>
  <c r="B21" i="5"/>
  <c r="D31" i="4" s="1"/>
  <c r="G39" i="4" s="1"/>
  <c r="L31" i="3"/>
  <c r="M35" i="1" s="1"/>
  <c r="B23" i="5"/>
  <c r="L33" i="3"/>
  <c r="M37" i="1" s="1"/>
  <c r="B8" i="5"/>
  <c r="L18" i="3"/>
  <c r="M22" i="1" s="1"/>
  <c r="B15" i="5"/>
  <c r="D25" i="4" s="1"/>
  <c r="E39" i="4" s="1"/>
  <c r="L25" i="3"/>
  <c r="M29" i="1" s="1"/>
  <c r="B11" i="5"/>
  <c r="D21" i="4" s="1"/>
  <c r="L21" i="3"/>
  <c r="M25" i="1" s="1"/>
  <c r="E9" i="6"/>
  <c r="B16" i="5"/>
  <c r="L26" i="3"/>
  <c r="M30" i="1" s="1"/>
  <c r="B14" i="5"/>
  <c r="L24" i="3"/>
  <c r="M28" i="1" s="1"/>
  <c r="B9" i="5"/>
  <c r="D19" i="4" s="1"/>
  <c r="L19" i="3"/>
  <c r="M23" i="1" s="1"/>
  <c r="B13" i="5"/>
  <c r="D23" i="4" s="1"/>
  <c r="B50" i="4" s="1"/>
  <c r="L23" i="3"/>
  <c r="M27" i="1" s="1"/>
  <c r="B22" i="5"/>
  <c r="D32" i="4" s="1"/>
  <c r="L32" i="3"/>
  <c r="M36" i="1" s="1"/>
  <c r="F12" i="6"/>
  <c r="B7" i="5"/>
  <c r="L17" i="3"/>
  <c r="M21" i="1" s="1"/>
  <c r="K5" i="6" l="1"/>
  <c r="K6" i="6"/>
  <c r="K7" i="6"/>
  <c r="K8" i="6"/>
  <c r="K9" i="6"/>
  <c r="M5" i="6"/>
  <c r="M7" i="6"/>
  <c r="M9" i="6"/>
  <c r="M6" i="6"/>
  <c r="M8" i="6"/>
  <c r="M10" i="6"/>
  <c r="M11" i="6"/>
  <c r="G49" i="4"/>
  <c r="B49" i="4"/>
  <c r="C39" i="4"/>
  <c r="F39" i="4"/>
  <c r="L9" i="6" s="1"/>
  <c r="K10" i="6"/>
  <c r="D11" i="6"/>
  <c r="D39" i="4"/>
  <c r="M12" i="6"/>
  <c r="F13" i="6"/>
  <c r="B12" i="6"/>
  <c r="I11" i="6"/>
  <c r="M20" i="1"/>
  <c r="L34" i="3"/>
  <c r="C11" i="6"/>
  <c r="E10" i="6"/>
  <c r="M13" i="6" l="1"/>
  <c r="F14" i="6"/>
  <c r="B13" i="6"/>
  <c r="I12" i="6"/>
  <c r="D12" i="6"/>
  <c r="K11" i="6"/>
  <c r="L10" i="6"/>
  <c r="E11" i="6"/>
  <c r="L5" i="6"/>
  <c r="L6" i="6"/>
  <c r="L7" i="6"/>
  <c r="L8" i="6"/>
  <c r="J5" i="6"/>
  <c r="J7" i="6"/>
  <c r="J6" i="6"/>
  <c r="J8" i="6"/>
  <c r="J9" i="6"/>
  <c r="J10" i="6"/>
  <c r="C12" i="6"/>
  <c r="J11" i="6"/>
  <c r="I5" i="6"/>
  <c r="N5" i="6" s="1"/>
  <c r="G5" i="6"/>
  <c r="I8" i="6"/>
  <c r="N8" i="6" s="1"/>
  <c r="I6" i="6"/>
  <c r="I7" i="6"/>
  <c r="G7" i="6"/>
  <c r="G8" i="6"/>
  <c r="G6" i="6"/>
  <c r="I9" i="6"/>
  <c r="G9" i="6"/>
  <c r="I10" i="6"/>
  <c r="N10" i="6" s="1"/>
  <c r="G10" i="6"/>
  <c r="L11" i="6" l="1"/>
  <c r="N11" i="6" s="1"/>
  <c r="E12" i="6"/>
  <c r="G11" i="6"/>
  <c r="K12" i="6"/>
  <c r="D13" i="6"/>
  <c r="C13" i="6"/>
  <c r="J12" i="6"/>
  <c r="B14" i="6"/>
  <c r="I13" i="6"/>
  <c r="G12" i="6"/>
  <c r="N7" i="6"/>
  <c r="F15" i="6"/>
  <c r="M14" i="6"/>
  <c r="N9" i="6"/>
  <c r="N6" i="6"/>
  <c r="K13" i="6" l="1"/>
  <c r="D14" i="6"/>
  <c r="I14" i="6"/>
  <c r="B15" i="6"/>
  <c r="J13" i="6"/>
  <c r="C14" i="6"/>
  <c r="M15" i="6"/>
  <c r="F16" i="6"/>
  <c r="L12" i="6"/>
  <c r="N12" i="6" s="1"/>
  <c r="E13" i="6"/>
  <c r="F17" i="6" l="1"/>
  <c r="M16" i="6"/>
  <c r="D15" i="6"/>
  <c r="K14" i="6"/>
  <c r="C15" i="6"/>
  <c r="J14" i="6"/>
  <c r="B16" i="6"/>
  <c r="I15" i="6"/>
  <c r="L13" i="6"/>
  <c r="N13" i="6" s="1"/>
  <c r="E14" i="6"/>
  <c r="G14" i="6" s="1"/>
  <c r="G13" i="6"/>
  <c r="G15" i="6" l="1"/>
  <c r="B17" i="6"/>
  <c r="I16" i="6"/>
  <c r="C16" i="6"/>
  <c r="J15" i="6"/>
  <c r="D16" i="6"/>
  <c r="K15" i="6"/>
  <c r="F18" i="6"/>
  <c r="M17" i="6"/>
  <c r="E15" i="6"/>
  <c r="L14" i="6"/>
  <c r="N14" i="6" s="1"/>
  <c r="D17" i="6" l="1"/>
  <c r="K16" i="6"/>
  <c r="F19" i="6"/>
  <c r="M19" i="6" s="1"/>
  <c r="M18" i="6"/>
  <c r="C17" i="6"/>
  <c r="J16" i="6"/>
  <c r="B18" i="6"/>
  <c r="I17" i="6"/>
  <c r="L15" i="6"/>
  <c r="N15" i="6" s="1"/>
  <c r="E16" i="6"/>
  <c r="G16" i="6" s="1"/>
  <c r="C18" i="6" l="1"/>
  <c r="J17" i="6"/>
  <c r="D18" i="6"/>
  <c r="K17" i="6"/>
  <c r="B19" i="6"/>
  <c r="I18" i="6"/>
  <c r="L16" i="6"/>
  <c r="N16" i="6" s="1"/>
  <c r="E17" i="6"/>
  <c r="E18" i="6" l="1"/>
  <c r="L17" i="6"/>
  <c r="N17" i="6" s="1"/>
  <c r="I19" i="6"/>
  <c r="K18" i="6"/>
  <c r="D19" i="6"/>
  <c r="K19" i="6" s="1"/>
  <c r="J18" i="6"/>
  <c r="C19" i="6"/>
  <c r="J19" i="6" s="1"/>
  <c r="G17" i="6"/>
  <c r="E19" i="6" l="1"/>
  <c r="L19" i="6" s="1"/>
  <c r="N19" i="6" s="1"/>
  <c r="Q3" i="6" s="1"/>
  <c r="L18" i="6"/>
  <c r="N18" i="6" s="1"/>
  <c r="G18" i="6"/>
  <c r="V28" i="6" l="1"/>
  <c r="S17" i="6"/>
  <c r="U15" i="6"/>
  <c r="C43" i="4"/>
  <c r="C45" i="4" s="1"/>
  <c r="U28" i="6"/>
  <c r="V26" i="6"/>
  <c r="V24" i="6"/>
  <c r="V22" i="6"/>
  <c r="V20" i="6"/>
  <c r="R17" i="6"/>
  <c r="T15" i="6"/>
  <c r="T28" i="6"/>
  <c r="U26" i="6"/>
  <c r="U24" i="6"/>
  <c r="U22" i="6"/>
  <c r="U20" i="6"/>
  <c r="V18" i="6"/>
  <c r="S15" i="6"/>
  <c r="S28" i="6"/>
  <c r="T26" i="6"/>
  <c r="T24" i="6"/>
  <c r="T22" i="6"/>
  <c r="T20" i="6"/>
  <c r="U18" i="6"/>
  <c r="R15" i="6"/>
  <c r="R28" i="6"/>
  <c r="S26" i="6"/>
  <c r="S24" i="6"/>
  <c r="S22" i="6"/>
  <c r="S20" i="6"/>
  <c r="T18" i="6"/>
  <c r="V16" i="6"/>
  <c r="S25" i="6"/>
  <c r="U21" i="6"/>
  <c r="R25" i="6"/>
  <c r="T21" i="6"/>
  <c r="V27" i="6"/>
  <c r="R24" i="6"/>
  <c r="S21" i="6"/>
  <c r="V14" i="6"/>
  <c r="Q8" i="6"/>
  <c r="U27" i="6"/>
  <c r="R21" i="6"/>
  <c r="U16" i="6"/>
  <c r="U14" i="6"/>
  <c r="V25" i="6"/>
  <c r="T27" i="6"/>
  <c r="V23" i="6"/>
  <c r="R20" i="6"/>
  <c r="T16" i="6"/>
  <c r="V15" i="6"/>
  <c r="T14" i="6"/>
  <c r="R22" i="6"/>
  <c r="S27" i="6"/>
  <c r="U23" i="6"/>
  <c r="V17" i="6"/>
  <c r="S16" i="6"/>
  <c r="S14" i="6"/>
  <c r="O31" i="6" s="1"/>
  <c r="T19" i="6"/>
  <c r="R27" i="6"/>
  <c r="T23" i="6"/>
  <c r="V19" i="6"/>
  <c r="S18" i="6"/>
  <c r="U17" i="6"/>
  <c r="R16" i="6"/>
  <c r="R14" i="6"/>
  <c r="R23" i="6"/>
  <c r="R26" i="6"/>
  <c r="S23" i="6"/>
  <c r="U19" i="6"/>
  <c r="R18" i="6"/>
  <c r="T17" i="6"/>
  <c r="Q6" i="6"/>
  <c r="S19" i="6"/>
  <c r="U25" i="6"/>
  <c r="R19" i="6"/>
  <c r="T25" i="6"/>
  <c r="V21" i="6"/>
  <c r="G19" i="6"/>
  <c r="O32" i="6" l="1"/>
  <c r="O33" i="6" s="1"/>
  <c r="O37" i="6"/>
  <c r="O28" i="6"/>
  <c r="O34" i="6"/>
  <c r="O35" i="6" s="1"/>
  <c r="O36" i="6" s="1"/>
  <c r="O40" i="6"/>
  <c r="C44" i="4"/>
  <c r="O38" i="6" l="1"/>
  <c r="O39" i="6" s="1"/>
  <c r="O29" i="6"/>
  <c r="O30" i="6" s="1"/>
</calcChain>
</file>

<file path=xl/sharedStrings.xml><?xml version="1.0" encoding="utf-8"?>
<sst xmlns="http://schemas.openxmlformats.org/spreadsheetml/2006/main" count="128" uniqueCount="105">
  <si>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</si>
  <si>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</si>
  <si>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</si>
  <si>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</si>
  <si>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</si>
  <si>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</si>
  <si>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</si>
  <si>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</si>
  <si>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</si>
  <si>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</si>
  <si>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</si>
  <si>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</si>
  <si>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</si>
  <si>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</si>
  <si>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</si>
  <si>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</si>
  <si>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</si>
  <si>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</si>
  <si>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</si>
  <si>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</si>
  <si>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</si>
  <si>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</si>
  <si>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</si>
  <si>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</si>
  <si>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</si>
  <si>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19.9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</si>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</sst>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5" fillId="0" borderId="28" xfId="0" applyFont="1" applyBorder="1" applyAlignment="1">
      <alignment horizontal="left" vertical="center" wrapText="1"/>
    </xf>
    <xf numFmtId="0" fontId="4" fillId="0" borderId="28" xfId="0" applyFont="1" applyBorder="1" applyAlignment="1">
      <alignment horizontal="left" vertical="center"/>
    </xf>
    <xf numFmtId="0" fontId="4" fillId="4" borderId="28" xfId="0" applyFont="1" applyFill="1" applyBorder="1" applyAlignment="1">
      <alignment horizontal="center" vertic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A3-4742-9758-A38EAD1E0CF2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A3-4742-9758-A38EAD1E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0.38561578761919685</c:v>
                </c:pt>
                <c:pt idx="1">
                  <c:v>0.53357997781204192</c:v>
                </c:pt>
                <c:pt idx="2">
                  <c:v>0.39350793356012131</c:v>
                </c:pt>
                <c:pt idx="3">
                  <c:v>0.5624793827979061</c:v>
                </c:pt>
                <c:pt idx="4">
                  <c:v>0.73131437419719258</c:v>
                </c:pt>
                <c:pt idx="5">
                  <c:v>0.76437700330795921</c:v>
                </c:pt>
                <c:pt idx="6">
                  <c:v>0.70972395125810239</c:v>
                </c:pt>
                <c:pt idx="7">
                  <c:v>0.72878172419838594</c:v>
                </c:pt>
                <c:pt idx="8">
                  <c:v>0.76569175239607679</c:v>
                </c:pt>
                <c:pt idx="9">
                  <c:v>0.88675223151519156</c:v>
                </c:pt>
                <c:pt idx="10">
                  <c:v>0.97332835501277659</c:v>
                </c:pt>
                <c:pt idx="11">
                  <c:v>0.99579888370151226</c:v>
                </c:pt>
                <c:pt idx="12">
                  <c:v>1.010724506520656</c:v>
                </c:pt>
                <c:pt idx="13">
                  <c:v>0.9621433321059113</c:v>
                </c:pt>
                <c:pt idx="14">
                  <c:v>0.94485322707202946</c:v>
                </c:pt>
                <c:pt idx="15">
                  <c:v>0.87776101994964106</c:v>
                </c:pt>
                <c:pt idx="16">
                  <c:v>0.8694264803924745</c:v>
                </c:pt>
                <c:pt idx="17">
                  <c:v>0.84339610540297405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04-4C0B-AF8D-3D4E7498BE9C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0.64999999999999991</c:v>
                </c:pt>
                <c:pt idx="5">
                  <c:v>0.71666666666666656</c:v>
                </c:pt>
                <c:pt idx="6">
                  <c:v>0.78333333333333321</c:v>
                </c:pt>
                <c:pt idx="7">
                  <c:v>0.84999999999999987</c:v>
                </c:pt>
                <c:pt idx="8">
                  <c:v>0.84999999999999987</c:v>
                </c:pt>
                <c:pt idx="9">
                  <c:v>0.84999999999999987</c:v>
                </c:pt>
                <c:pt idx="10">
                  <c:v>0.84999999999999987</c:v>
                </c:pt>
                <c:pt idx="11">
                  <c:v>0.84999999999999987</c:v>
                </c:pt>
                <c:pt idx="12">
                  <c:v>0.84999999999999987</c:v>
                </c:pt>
                <c:pt idx="13">
                  <c:v>0.84999999999999987</c:v>
                </c:pt>
                <c:pt idx="14">
                  <c:v>0.81666666666666654</c:v>
                </c:pt>
                <c:pt idx="15">
                  <c:v>0.78333333333333321</c:v>
                </c:pt>
                <c:pt idx="16">
                  <c:v>0.74999999999999989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04-4C0B-AF8D-3D4E7498B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6.7804596630353782</c:v>
                </c:pt>
                <c:pt idx="1">
                  <c:v>6.7867825330310438</c:v>
                </c:pt>
                <c:pt idx="2">
                  <c:v>6.5818180444843719</c:v>
                </c:pt>
                <c:pt idx="3">
                  <c:v>5.577586852302252</c:v>
                </c:pt>
                <c:pt idx="4">
                  <c:v>5.7447210124869068</c:v>
                </c:pt>
                <c:pt idx="5">
                  <c:v>5.0710275856901719</c:v>
                </c:pt>
                <c:pt idx="6">
                  <c:v>5.3345023920184973</c:v>
                </c:pt>
                <c:pt idx="7">
                  <c:v>5.8719723252444664</c:v>
                </c:pt>
                <c:pt idx="8">
                  <c:v>6.2547213711672374</c:v>
                </c:pt>
                <c:pt idx="9">
                  <c:v>6.400321929340949</c:v>
                </c:pt>
                <c:pt idx="10">
                  <c:v>6.5166406648160526</c:v>
                </c:pt>
                <c:pt idx="11">
                  <c:v>6.6310884436346109</c:v>
                </c:pt>
                <c:pt idx="12">
                  <c:v>6.9589434737220053</c:v>
                </c:pt>
                <c:pt idx="13">
                  <c:v>8.5291829264875574</c:v>
                </c:pt>
                <c:pt idx="14">
                  <c:v>9.3161504194873235</c:v>
                </c:pt>
                <c:pt idx="15">
                  <c:v>11.197149677393753</c:v>
                </c:pt>
                <c:pt idx="16">
                  <c:v>12.64931722196288</c:v>
                </c:pt>
                <c:pt idx="17">
                  <c:v>14.142617431311248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B-413B-A6EA-799D0C10CF76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9B-413B-A6EA-799D0C10C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55985</xdr:colOff>
      <xdr:row>13</xdr:row>
      <xdr:rowOff>0</xdr:rowOff>
    </xdr:from>
    <xdr:to>
      <xdr:col>10</xdr:col>
      <xdr:colOff>262424</xdr:colOff>
      <xdr:row>33</xdr:row>
      <xdr:rowOff>65896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33" width="9.140625" style="6" customWidth="1"/>
    <col min="34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4.59899434</v>
      </c>
      <c r="C5" s="47">
        <v>4.3855412280000001</v>
      </c>
      <c r="D5" s="47">
        <v>5.5810265240000003</v>
      </c>
      <c r="E5" s="47">
        <v>4.1515631160000002</v>
      </c>
      <c r="F5" s="47">
        <v>5.8579022150000002</v>
      </c>
      <c r="G5" s="47">
        <v>4.408439671</v>
      </c>
      <c r="H5" s="47">
        <v>4.830577849</v>
      </c>
      <c r="I5" s="47">
        <v>28.037629410000001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4.714744337</v>
      </c>
      <c r="C7" s="47">
        <v>4.2257852470000001</v>
      </c>
      <c r="D7" s="47">
        <v>4.9591329899999996</v>
      </c>
      <c r="E7" s="47">
        <v>4.6374662430000004</v>
      </c>
      <c r="F7" s="47">
        <v>4.490093162</v>
      </c>
      <c r="G7" s="47">
        <v>5.6649929339999998</v>
      </c>
      <c r="H7" s="47">
        <v>4.7820358189999999</v>
      </c>
      <c r="I7" s="47">
        <v>29.34498778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5.4303918590000002</v>
      </c>
      <c r="C9" s="47">
        <v>4.7020441350000004</v>
      </c>
      <c r="D9" s="47">
        <v>4.8818225389999998</v>
      </c>
      <c r="E9" s="47">
        <v>4.0458404659999996</v>
      </c>
      <c r="F9" s="47">
        <v>5.2347271590000002</v>
      </c>
      <c r="G9" s="47">
        <v>4.9762760400000001</v>
      </c>
      <c r="H9" s="47">
        <v>4.8785170329999996</v>
      </c>
      <c r="I9" s="47">
        <v>27.762115009999999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5.5354526340000003</v>
      </c>
      <c r="C11" s="47">
        <v>5.638884408</v>
      </c>
      <c r="D11" s="47">
        <v>5.8539089889999998</v>
      </c>
      <c r="E11" s="47">
        <v>5.4519361799999997</v>
      </c>
      <c r="F11" s="47">
        <v>5.2885943109999998</v>
      </c>
      <c r="G11" s="47">
        <v>6.0053513489999997</v>
      </c>
      <c r="H11" s="47">
        <v>5.6290213119999999</v>
      </c>
      <c r="I11" s="47">
        <v>24.060656829999999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5.3933875860000002</v>
      </c>
      <c r="C13" s="47">
        <v>5.4515557440000002</v>
      </c>
      <c r="D13" s="47">
        <v>5.657323742</v>
      </c>
      <c r="E13" s="47">
        <v>5.662941183</v>
      </c>
      <c r="F13" s="47">
        <v>5.2824166119999996</v>
      </c>
      <c r="G13" s="47">
        <v>5.3074976449999998</v>
      </c>
      <c r="H13" s="47">
        <v>5.459187086</v>
      </c>
      <c r="I13" s="47">
        <v>24.80917891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5.8272195299999998</v>
      </c>
      <c r="C15" s="47">
        <v>5.9739011409999998</v>
      </c>
      <c r="D15" s="47">
        <v>6.4271781140000002</v>
      </c>
      <c r="E15" s="47">
        <v>5.7379447829999997</v>
      </c>
      <c r="F15" s="47">
        <v>6.2592165629999998</v>
      </c>
      <c r="G15" s="47">
        <v>6.2092436849999997</v>
      </c>
      <c r="H15" s="47">
        <v>6.0724506360000001</v>
      </c>
      <c r="I15" s="47">
        <v>22.303671949999998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5.6189189490000002</v>
      </c>
      <c r="C17" s="47">
        <v>5.6605156750000001</v>
      </c>
      <c r="D17" s="47">
        <v>5.9355469330000004</v>
      </c>
      <c r="E17" s="47">
        <v>5.5677115710000002</v>
      </c>
      <c r="F17" s="47">
        <v>5.8298509840000001</v>
      </c>
      <c r="G17" s="47">
        <v>6.1574415399999998</v>
      </c>
      <c r="H17" s="47">
        <v>5.7949976090000002</v>
      </c>
      <c r="I17" s="47">
        <v>23.371527189999998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5.1976301969999996</v>
      </c>
      <c r="C19" s="47">
        <v>5.5802617210000003</v>
      </c>
      <c r="D19" s="47">
        <v>5.202827214</v>
      </c>
      <c r="E19" s="47">
        <v>5.1789310310000003</v>
      </c>
      <c r="F19" s="47">
        <v>5.4986960229999999</v>
      </c>
      <c r="G19" s="47">
        <v>5.2417521599999999</v>
      </c>
      <c r="H19" s="47">
        <v>5.3166830579999997</v>
      </c>
      <c r="I19" s="47">
        <v>25.4741423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4.830577849</v>
      </c>
      <c r="M20" s="102">
        <f>'Initial Parameters'!L16</f>
        <v>1</v>
      </c>
    </row>
    <row r="21" spans="1:97" x14ac:dyDescent="0.25">
      <c r="A21" s="47">
        <v>630</v>
      </c>
      <c r="B21" s="47">
        <v>4.9131414309999997</v>
      </c>
      <c r="C21" s="47">
        <v>4.8427309120000004</v>
      </c>
      <c r="D21" s="47">
        <v>5.1574948889999996</v>
      </c>
      <c r="E21" s="47">
        <v>5.179843322</v>
      </c>
      <c r="F21" s="47">
        <v>5.0440380090000003</v>
      </c>
      <c r="G21" s="47">
        <v>4.9818532739999997</v>
      </c>
      <c r="H21" s="47">
        <v>5.0198503060000004</v>
      </c>
      <c r="I21" s="47">
        <v>26.98047291</v>
      </c>
      <c r="K21" s="47">
        <v>125</v>
      </c>
      <c r="L21" s="47">
        <f>H7</f>
        <v>4.7820358189999999</v>
      </c>
      <c r="M21" s="102">
        <f>'Initial Parameters'!L17</f>
        <v>1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4.8785170329999996</v>
      </c>
      <c r="M22" s="102">
        <f>'Initial Parameters'!L18</f>
        <v>1</v>
      </c>
    </row>
    <row r="23" spans="1:97" x14ac:dyDescent="0.25">
      <c r="A23" s="47">
        <v>800</v>
      </c>
      <c r="B23" s="47">
        <v>4.9207545259999996</v>
      </c>
      <c r="C23" s="47">
        <v>4.9337337290000001</v>
      </c>
      <c r="D23" s="47">
        <v>5.0438043959999996</v>
      </c>
      <c r="E23" s="47">
        <v>4.8828521870000001</v>
      </c>
      <c r="F23" s="47">
        <v>4.6182570820000004</v>
      </c>
      <c r="G23" s="47">
        <v>5.0625905449999999</v>
      </c>
      <c r="H23" s="47">
        <v>4.9103320779999997</v>
      </c>
      <c r="I23" s="47">
        <v>27.582233420000001</v>
      </c>
      <c r="K23" s="47">
        <v>200</v>
      </c>
      <c r="L23" s="47">
        <f>H11</f>
        <v>5.6290213119999999</v>
      </c>
      <c r="M23" s="102">
        <f>'Initial Parameters'!L19</f>
        <v>1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5.459187086</v>
      </c>
      <c r="M24" s="102">
        <f>'Initial Parameters'!L20</f>
        <v>1</v>
      </c>
    </row>
    <row r="25" spans="1:97" x14ac:dyDescent="0.25">
      <c r="A25" s="47">
        <v>1000</v>
      </c>
      <c r="B25" s="47">
        <v>4.755811885</v>
      </c>
      <c r="C25" s="47">
        <v>5.1935477939999997</v>
      </c>
      <c r="D25" s="47">
        <v>4.5979701149999999</v>
      </c>
      <c r="E25" s="47">
        <v>4.9055949649999997</v>
      </c>
      <c r="F25" s="47">
        <v>4.82138344</v>
      </c>
      <c r="G25" s="47">
        <v>4.6645906850000003</v>
      </c>
      <c r="H25" s="47">
        <v>4.8231498139999998</v>
      </c>
      <c r="I25" s="47">
        <v>28.080801260000001</v>
      </c>
      <c r="K25" s="47">
        <v>315</v>
      </c>
      <c r="L25" s="47">
        <f>H15</f>
        <v>6.0724506360000001</v>
      </c>
      <c r="M25" s="102">
        <f>'Initial Parameters'!L21</f>
        <v>1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5.7949976090000002</v>
      </c>
      <c r="M26" s="102">
        <f>'Initial Parameters'!L22</f>
        <v>1</v>
      </c>
    </row>
    <row r="27" spans="1:97" x14ac:dyDescent="0.25">
      <c r="A27" s="47">
        <v>1250</v>
      </c>
      <c r="B27" s="47">
        <v>4.9287397000000004</v>
      </c>
      <c r="C27" s="47">
        <v>4.6835006909999999</v>
      </c>
      <c r="D27" s="47">
        <v>4.6488916180000004</v>
      </c>
      <c r="E27" s="47">
        <v>4.7604991879999998</v>
      </c>
      <c r="F27" s="47">
        <v>4.7406569369999998</v>
      </c>
      <c r="G27" s="47">
        <v>4.6567083409999999</v>
      </c>
      <c r="H27" s="47">
        <v>4.7364994119999997</v>
      </c>
      <c r="I27" s="47">
        <v>28.59451207</v>
      </c>
      <c r="K27" s="47">
        <v>500</v>
      </c>
      <c r="L27" s="47">
        <f>H19</f>
        <v>5.3166830579999997</v>
      </c>
      <c r="M27" s="102">
        <f>'Initial Parameters'!L23</f>
        <v>1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5.0198503060000004</v>
      </c>
      <c r="M28" s="102">
        <f>'Initial Parameters'!L24</f>
        <v>1</v>
      </c>
    </row>
    <row r="29" spans="1:97" x14ac:dyDescent="0.25">
      <c r="A29" s="47">
        <v>1600</v>
      </c>
      <c r="B29" s="47">
        <v>4.5050686830000002</v>
      </c>
      <c r="C29" s="47">
        <v>4.5300417709999996</v>
      </c>
      <c r="D29" s="47">
        <v>4.3602690309999996</v>
      </c>
      <c r="E29" s="47">
        <v>4.6180660509999996</v>
      </c>
      <c r="F29" s="47">
        <v>4.4398087479999999</v>
      </c>
      <c r="G29" s="47">
        <v>4.6532075849999996</v>
      </c>
      <c r="H29" s="47">
        <v>4.5177436450000004</v>
      </c>
      <c r="I29" s="47">
        <v>29.979092479999998</v>
      </c>
      <c r="K29" s="47">
        <v>800</v>
      </c>
      <c r="L29" s="47">
        <f>H23</f>
        <v>4.9103320779999997</v>
      </c>
      <c r="M29" s="102">
        <f>'Initial Parameters'!L25</f>
        <v>1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4.8231498139999998</v>
      </c>
      <c r="M30" s="102">
        <f>'Initial Parameters'!L26</f>
        <v>1</v>
      </c>
    </row>
    <row r="31" spans="1:97" x14ac:dyDescent="0.25">
      <c r="A31" s="47">
        <v>2000</v>
      </c>
      <c r="B31" s="47">
        <v>3.6604006990000002</v>
      </c>
      <c r="C31" s="47">
        <v>3.7358435550000002</v>
      </c>
      <c r="D31" s="47">
        <v>3.7966858179999998</v>
      </c>
      <c r="E31" s="47">
        <v>3.842144931</v>
      </c>
      <c r="F31" s="47">
        <v>3.773829476</v>
      </c>
      <c r="G31" s="47">
        <v>3.6506257249999998</v>
      </c>
      <c r="H31" s="47">
        <v>3.7432550340000001</v>
      </c>
      <c r="I31" s="47">
        <v>36.181832280000002</v>
      </c>
      <c r="J31" s="1"/>
      <c r="K31" s="47">
        <v>1250</v>
      </c>
      <c r="L31" s="47">
        <f>H27</f>
        <v>4.7364994119999997</v>
      </c>
      <c r="M31" s="102">
        <f>'Initial Parameters'!L27</f>
        <v>1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4.5177436450000004</v>
      </c>
      <c r="M32" s="102">
        <f>'Initial Parameters'!L28</f>
        <v>1</v>
      </c>
    </row>
    <row r="33" spans="1:97" x14ac:dyDescent="0.25">
      <c r="A33" s="47">
        <v>2500</v>
      </c>
      <c r="B33" s="47">
        <v>3.569350912</v>
      </c>
      <c r="C33" s="47">
        <v>3.350934917</v>
      </c>
      <c r="D33" s="47">
        <v>3.4484897490000002</v>
      </c>
      <c r="E33" s="47">
        <v>3.3777448909999999</v>
      </c>
      <c r="F33" s="47">
        <v>3.4748594069999998</v>
      </c>
      <c r="G33" s="47">
        <v>3.3617149230000001</v>
      </c>
      <c r="H33" s="47">
        <v>3.4305157999999998</v>
      </c>
      <c r="I33" s="47">
        <v>39.480293699999997</v>
      </c>
      <c r="K33" s="47">
        <v>2000</v>
      </c>
      <c r="L33" s="47">
        <f>H31</f>
        <v>3.7432550340000001</v>
      </c>
      <c r="M33" s="102">
        <f>'Initial Parameters'!L29</f>
        <v>1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3.4305157999999998</v>
      </c>
      <c r="M34" s="102">
        <f>'Initial Parameters'!L30</f>
        <v>1</v>
      </c>
    </row>
    <row r="35" spans="1:97" x14ac:dyDescent="0.25">
      <c r="A35" s="47">
        <v>3150</v>
      </c>
      <c r="B35" s="47">
        <v>2.801803155</v>
      </c>
      <c r="C35" s="47">
        <v>2.8473916460000002</v>
      </c>
      <c r="D35" s="47">
        <v>2.9302656690000002</v>
      </c>
      <c r="E35" s="47">
        <v>2.9612731839999999</v>
      </c>
      <c r="F35" s="47">
        <v>2.931026401</v>
      </c>
      <c r="G35" s="47">
        <v>2.7629497949999999</v>
      </c>
      <c r="H35" s="47">
        <v>2.8724516420000001</v>
      </c>
      <c r="I35" s="47">
        <v>47.150562909999998</v>
      </c>
      <c r="K35" s="47">
        <v>3150</v>
      </c>
      <c r="L35" s="47">
        <f>H35</f>
        <v>2.8724516420000001</v>
      </c>
      <c r="M35" s="102">
        <f>'Initial Parameters'!L31</f>
        <v>1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2.5327698249999999</v>
      </c>
      <c r="M36" s="102">
        <f>'Initial Parameters'!L32</f>
        <v>1</v>
      </c>
    </row>
    <row r="37" spans="1:97" x14ac:dyDescent="0.25">
      <c r="A37" s="47">
        <v>4000</v>
      </c>
      <c r="B37" s="47">
        <v>2.4913659959999999</v>
      </c>
      <c r="C37" s="47">
        <v>2.4953562570000001</v>
      </c>
      <c r="D37" s="47">
        <v>2.5723570379999998</v>
      </c>
      <c r="E37" s="47">
        <v>2.4808230560000002</v>
      </c>
      <c r="F37" s="47">
        <v>2.5644965989999999</v>
      </c>
      <c r="G37" s="47">
        <v>2.5922200069999999</v>
      </c>
      <c r="H37" s="47">
        <v>2.5327698249999999</v>
      </c>
      <c r="I37" s="47">
        <v>53.474109319999997</v>
      </c>
      <c r="K37" s="47">
        <v>5000</v>
      </c>
      <c r="L37" s="47">
        <f>H39</f>
        <v>2.2454059979999998</v>
      </c>
      <c r="M37" s="102">
        <f>'Initial Parameters'!L33</f>
        <v>1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2.2129274730000001</v>
      </c>
      <c r="C39" s="47">
        <v>2.2440786949999998</v>
      </c>
      <c r="D39" s="47">
        <v>2.3016770090000001</v>
      </c>
      <c r="E39" s="47">
        <v>2.2058514869999999</v>
      </c>
      <c r="F39" s="47">
        <v>2.2492104550000001</v>
      </c>
      <c r="G39" s="47">
        <v>2.2586908719999998</v>
      </c>
      <c r="H39" s="47">
        <v>2.2454059979999998</v>
      </c>
      <c r="I39" s="47">
        <v>60.317590260000003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2" operator="equal">
      <formula>1</formula>
    </cfRule>
    <cfRule type="cellIs" dxfId="3" priority="1" operator="lessThan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3.5095274499389002</v>
      </c>
      <c r="F5" s="47">
        <v>2.9808321087549299</v>
      </c>
      <c r="G5" s="47">
        <v>3.1390754524623898</v>
      </c>
      <c r="H5" s="47">
        <v>3.3928788402347498</v>
      </c>
      <c r="I5" s="47">
        <v>2.7779926380403999</v>
      </c>
      <c r="J5" s="47">
        <v>2.7118977336656198</v>
      </c>
      <c r="K5" s="47">
        <v>3.0853673705161699</v>
      </c>
      <c r="L5" s="64">
        <v>44.231533589231802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2.4279120760144801</v>
      </c>
      <c r="F7" s="47">
        <v>2.5057463824931698</v>
      </c>
      <c r="G7" s="47">
        <v>2.7524983973940902</v>
      </c>
      <c r="H7" s="47">
        <v>3.1341308035967299</v>
      </c>
      <c r="I7" s="47">
        <v>2.8188856975963699</v>
      </c>
      <c r="J7" s="47">
        <v>2.52238994231779</v>
      </c>
      <c r="K7" s="47">
        <v>2.6935938832354398</v>
      </c>
      <c r="L7" s="64">
        <v>50.664850124414698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3.0474098412092299</v>
      </c>
      <c r="F9" s="47">
        <v>2.5507763709573901</v>
      </c>
      <c r="G9" s="47">
        <v>3.2665920485704101</v>
      </c>
      <c r="H9" s="47">
        <v>3.4059653284180098</v>
      </c>
      <c r="I9" s="47">
        <v>3.3598643769959602</v>
      </c>
      <c r="J9" s="47">
        <v>2.8504152202994</v>
      </c>
      <c r="K9" s="47">
        <v>3.08017053107507</v>
      </c>
      <c r="L9" s="64">
        <v>44.306160553742103</v>
      </c>
    </row>
    <row r="10" spans="1:100" x14ac:dyDescent="0.25">
      <c r="A10" s="5">
        <v>100</v>
      </c>
      <c r="B10" s="7">
        <f>K5</f>
        <v>3.0853673705161699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2.6935938832354398</v>
      </c>
      <c r="D11" s="63">
        <v>200</v>
      </c>
      <c r="E11" s="47">
        <v>2.8094746520279399</v>
      </c>
      <c r="F11" s="47">
        <v>2.57685797882601</v>
      </c>
      <c r="G11" s="47">
        <v>2.6990648580945198</v>
      </c>
      <c r="H11" s="47">
        <v>3.0000964581687399</v>
      </c>
      <c r="I11" s="47">
        <v>3.2694719892194399</v>
      </c>
      <c r="J11" s="47">
        <v>2.8495580234368099</v>
      </c>
      <c r="K11" s="47">
        <v>2.86742065996224</v>
      </c>
      <c r="L11" s="64">
        <v>47.593480680565698</v>
      </c>
    </row>
    <row r="12" spans="1:100" x14ac:dyDescent="0.25">
      <c r="A12" s="5">
        <v>160</v>
      </c>
      <c r="B12" s="7">
        <f>K9</f>
        <v>3.08017053107507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2.86742065996224</v>
      </c>
      <c r="D13" s="63">
        <v>250</v>
      </c>
      <c r="E13" s="47">
        <v>2.41119492845761</v>
      </c>
      <c r="F13" s="47">
        <v>2.4035948676841099</v>
      </c>
      <c r="G13" s="47">
        <v>2.3643819223967499</v>
      </c>
      <c r="H13" s="47">
        <v>2.46223596896214</v>
      </c>
      <c r="I13" s="47">
        <v>2.8523534307834599</v>
      </c>
      <c r="J13" s="47">
        <v>2.2986027901975099</v>
      </c>
      <c r="K13" s="47">
        <v>2.4653939847469299</v>
      </c>
      <c r="L13" s="64">
        <v>55.354450565667001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2.4653939847469299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2.51756531854413</v>
      </c>
      <c r="D15" s="63">
        <v>315</v>
      </c>
      <c r="E15" s="47">
        <v>2.6994460732245402</v>
      </c>
      <c r="F15" s="47">
        <v>2.6120129193333899</v>
      </c>
      <c r="G15" s="47">
        <v>2.60068812418967</v>
      </c>
      <c r="H15" s="47">
        <v>2.6671465095221798</v>
      </c>
      <c r="I15" s="47">
        <v>2.1999590141759802</v>
      </c>
      <c r="J15" s="47">
        <v>2.3261392708190201</v>
      </c>
      <c r="K15" s="47">
        <v>2.51756531854413</v>
      </c>
      <c r="L15" s="64">
        <v>54.207343757039901</v>
      </c>
    </row>
    <row r="16" spans="1:100" x14ac:dyDescent="0.25">
      <c r="A16" s="5">
        <v>400</v>
      </c>
      <c r="B16" s="7">
        <f>K17</f>
        <v>2.5739118470851001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2.43999449598294</v>
      </c>
      <c r="D17" s="63">
        <v>400</v>
      </c>
      <c r="E17" s="47">
        <v>2.6563376029968402</v>
      </c>
      <c r="F17" s="47">
        <v>2.6733591409106801</v>
      </c>
      <c r="G17" s="47">
        <v>2.4628960383928198</v>
      </c>
      <c r="H17" s="47">
        <v>2.5950996917396298</v>
      </c>
      <c r="I17" s="47">
        <v>2.45933580636654</v>
      </c>
      <c r="J17" s="47">
        <v>2.5964428021041299</v>
      </c>
      <c r="K17" s="47">
        <v>2.5739118470851001</v>
      </c>
      <c r="L17" s="64">
        <v>53.020668696473798</v>
      </c>
    </row>
    <row r="18" spans="1:100" x14ac:dyDescent="0.25">
      <c r="A18" s="5">
        <v>630</v>
      </c>
      <c r="B18" s="7">
        <f>K21</f>
        <v>2.3138618539096298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2.1123592288966901</v>
      </c>
      <c r="D19" s="63">
        <v>500</v>
      </c>
      <c r="E19" s="47">
        <v>2.47854250538147</v>
      </c>
      <c r="F19" s="47">
        <v>2.3471943199490499</v>
      </c>
      <c r="G19" s="47">
        <v>2.40804152384653</v>
      </c>
      <c r="H19" s="47">
        <v>2.3118916546157502</v>
      </c>
      <c r="I19" s="47">
        <v>2.6296174613359802</v>
      </c>
      <c r="J19" s="47">
        <v>2.4646795107688702</v>
      </c>
      <c r="K19" s="47">
        <v>2.43999449598294</v>
      </c>
      <c r="L19" s="64">
        <v>55.930669460806897</v>
      </c>
    </row>
    <row r="20" spans="1:100" x14ac:dyDescent="0.25">
      <c r="A20" s="5">
        <v>1000</v>
      </c>
      <c r="B20" s="7">
        <f>K25</f>
        <v>1.9865323522312699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1.94548757954165</v>
      </c>
      <c r="D21" s="63">
        <v>630</v>
      </c>
      <c r="E21" s="47">
        <v>2.3261675560099699</v>
      </c>
      <c r="F21" s="47">
        <v>2.32610738151855</v>
      </c>
      <c r="G21" s="47">
        <v>2.4041346288186398</v>
      </c>
      <c r="H21" s="47">
        <v>2.0108175369861701</v>
      </c>
      <c r="I21" s="47">
        <v>2.41204115349572</v>
      </c>
      <c r="J21" s="47">
        <v>2.4039028666287501</v>
      </c>
      <c r="K21" s="47">
        <v>2.3138618539096298</v>
      </c>
      <c r="L21" s="64">
        <v>58.979546610206398</v>
      </c>
    </row>
    <row r="22" spans="1:100" x14ac:dyDescent="0.25">
      <c r="A22" s="5">
        <v>1600</v>
      </c>
      <c r="B22" s="7">
        <f>K29</f>
        <v>1.89120420399092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1.78641959380725</v>
      </c>
      <c r="D23" s="63">
        <v>800</v>
      </c>
      <c r="E23" s="47">
        <v>2.05748051992457</v>
      </c>
      <c r="F23" s="47">
        <v>2.23002306573055</v>
      </c>
      <c r="G23" s="47">
        <v>2.0613416597799099</v>
      </c>
      <c r="H23" s="47">
        <v>2.0702834733150102</v>
      </c>
      <c r="I23" s="47">
        <v>2.0959280894965602</v>
      </c>
      <c r="J23" s="47">
        <v>2.1590985651335202</v>
      </c>
      <c r="K23" s="47">
        <v>2.1123592288966901</v>
      </c>
      <c r="L23" s="64">
        <v>64.605734464995606</v>
      </c>
    </row>
    <row r="24" spans="1:100" x14ac:dyDescent="0.25">
      <c r="A24" s="5">
        <v>2500</v>
      </c>
      <c r="B24" s="7">
        <f>K33</f>
        <v>1.7275117172524701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1.62578605531623</v>
      </c>
      <c r="D25" s="63">
        <v>1000</v>
      </c>
      <c r="E25" s="47">
        <v>1.92457386344672</v>
      </c>
      <c r="F25" s="47">
        <v>1.9255498300838401</v>
      </c>
      <c r="G25" s="47">
        <v>1.98278084864392</v>
      </c>
      <c r="H25" s="47">
        <v>2.0705699843833698</v>
      </c>
      <c r="I25" s="47">
        <v>2.06896664289643</v>
      </c>
      <c r="J25" s="47">
        <v>1.94675294393336</v>
      </c>
      <c r="K25" s="47">
        <v>1.9865323522312699</v>
      </c>
      <c r="L25" s="64">
        <v>68.697856330641997</v>
      </c>
    </row>
    <row r="26" spans="1:100" x14ac:dyDescent="0.25">
      <c r="A26" s="5">
        <v>4000</v>
      </c>
      <c r="B26" s="7">
        <f>K37</f>
        <v>1.5169488289806801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1.42489001409366</v>
      </c>
      <c r="D27" s="63">
        <v>1250</v>
      </c>
      <c r="E27" s="47">
        <v>1.9476469766608</v>
      </c>
      <c r="F27" s="47">
        <v>1.95139388514129</v>
      </c>
      <c r="G27" s="47">
        <v>1.8871128045444401</v>
      </c>
      <c r="H27" s="47">
        <v>1.9778773463071899</v>
      </c>
      <c r="I27" s="47">
        <v>1.93807058008587</v>
      </c>
      <c r="J27" s="47">
        <v>1.9708238845103001</v>
      </c>
      <c r="K27" s="47">
        <v>1.94548757954165</v>
      </c>
      <c r="L27" s="64">
        <v>70.147199476730407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1.8713462883927099</v>
      </c>
      <c r="F29" s="47">
        <v>1.9518835907326</v>
      </c>
      <c r="G29" s="47">
        <v>1.8509957689129499</v>
      </c>
      <c r="H29" s="47">
        <v>1.8698129470346401</v>
      </c>
      <c r="I29" s="47">
        <v>1.9176264932906899</v>
      </c>
      <c r="J29" s="47">
        <v>1.8855601355819001</v>
      </c>
      <c r="K29" s="47">
        <v>1.89120420399092</v>
      </c>
      <c r="L29" s="64">
        <v>72.160631817159896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1.7616879436944</v>
      </c>
      <c r="F31" s="47">
        <v>1.81478985788381</v>
      </c>
      <c r="G31" s="47">
        <v>1.6807299337530499</v>
      </c>
      <c r="H31" s="47">
        <v>1.85393275385152</v>
      </c>
      <c r="I31" s="47">
        <v>1.7604617048562099</v>
      </c>
      <c r="J31" s="47">
        <v>1.8469153688044799</v>
      </c>
      <c r="K31" s="47">
        <v>1.78641959380725</v>
      </c>
      <c r="L31" s="64">
        <v>76.393290501021497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1.78047946520501</v>
      </c>
      <c r="F33" s="47">
        <v>1.7895443168704801</v>
      </c>
      <c r="G33" s="47">
        <v>1.6012958733045599</v>
      </c>
      <c r="H33" s="47">
        <v>1.7856080906343299</v>
      </c>
      <c r="I33" s="47">
        <v>1.67506177747896</v>
      </c>
      <c r="J33" s="47">
        <v>1.73308078002151</v>
      </c>
      <c r="K33" s="47">
        <v>1.7275117172524701</v>
      </c>
      <c r="L33" s="64">
        <v>78.998271959489202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1.6634014617931601</v>
      </c>
      <c r="F35" s="47">
        <v>1.62026086118118</v>
      </c>
      <c r="G35" s="47">
        <v>1.6313968582974401</v>
      </c>
      <c r="H35" s="47">
        <v>1.598400118849</v>
      </c>
      <c r="I35" s="47">
        <v>1.6135436697600301</v>
      </c>
      <c r="J35" s="47">
        <v>1.62771336201656</v>
      </c>
      <c r="K35" s="47">
        <v>1.62578605531623</v>
      </c>
      <c r="L35" s="64">
        <v>83.941177495823794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1.52394591643691</v>
      </c>
      <c r="F37" s="47">
        <v>1.5569956950138899</v>
      </c>
      <c r="G37" s="47">
        <v>1.4793686772814501</v>
      </c>
      <c r="H37" s="47">
        <v>1.4924518365675199</v>
      </c>
      <c r="I37" s="47">
        <v>1.53979357628628</v>
      </c>
      <c r="J37" s="47">
        <v>1.5091372722980501</v>
      </c>
      <c r="K37" s="47">
        <v>1.5169488289806801</v>
      </c>
      <c r="L37" s="64">
        <v>89.963698951029798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1.42339347462512</v>
      </c>
      <c r="F39" s="66">
        <v>1.40143842197284</v>
      </c>
      <c r="G39" s="66">
        <v>1.4282120578972299</v>
      </c>
      <c r="H39" s="66">
        <v>1.44965434089581</v>
      </c>
      <c r="I39" s="66">
        <v>1.4200409521489199</v>
      </c>
      <c r="J39" s="66">
        <v>1.42660083702202</v>
      </c>
      <c r="K39" s="66">
        <v>1.42489001409366</v>
      </c>
      <c r="L39" s="67">
        <v>95.775976743093096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>
        <v>63</v>
      </c>
      <c r="F43" s="70">
        <v>19.600000000000001</v>
      </c>
      <c r="G43" s="70">
        <v>101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33" width="9.140625" style="71" customWidth="1"/>
    <col min="34" max="16384" width="9.140625" style="71"/>
  </cols>
  <sheetData>
    <row r="1" spans="2:12" ht="14.45" customHeight="1" thickBot="1" x14ac:dyDescent="0.25">
      <c r="B1" s="19" t="s">
        <v>34</v>
      </c>
    </row>
    <row r="2" spans="2:12" ht="14.45" customHeight="1" thickBot="1" x14ac:dyDescent="0.25">
      <c r="C2" s="20" t="s">
        <v>35</v>
      </c>
      <c r="D2" s="21" t="s">
        <v>36</v>
      </c>
      <c r="E2" s="22" t="s">
        <v>37</v>
      </c>
    </row>
    <row r="3" spans="2:12" ht="14.45" customHeight="1" thickBot="1" x14ac:dyDescent="0.25">
      <c r="B3" s="23" t="s">
        <v>38</v>
      </c>
      <c r="C3" s="78" t="str">
        <f>'T1 Empty Room'!C43</f>
        <v>19.9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39</v>
      </c>
      <c r="C4" s="81">
        <f>'T2 With Sample'!F43</f>
        <v>19.600000000000001</v>
      </c>
      <c r="D4" s="82">
        <f>'T2 With Sample'!E43/100</f>
        <v>0.63</v>
      </c>
      <c r="E4" s="83">
        <f>'T2 With Sample'!G43</f>
        <v>101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40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41</v>
      </c>
      <c r="D8" s="31" t="s">
        <v>42</v>
      </c>
    </row>
    <row r="9" spans="2:12" x14ac:dyDescent="0.2">
      <c r="B9" s="32" t="s">
        <v>43</v>
      </c>
      <c r="C9" s="24">
        <f>331 + 0.6*C3</f>
        <v>342.94</v>
      </c>
      <c r="D9" s="33">
        <f>331 + 0.6*C4</f>
        <v>342.76</v>
      </c>
    </row>
    <row r="10" spans="2:12" x14ac:dyDescent="0.2">
      <c r="B10" s="34" t="s">
        <v>44</v>
      </c>
      <c r="C10" s="106">
        <f>D3 * 10^( (-6.8346*(273.16/(C3+273.15))^1.261 + 4.6151) ) * (E3/101.352)</f>
        <v>1.3703239736925639E-2</v>
      </c>
      <c r="D10" s="107">
        <f>D4* 10^( (-6.8346*(273.16/(C4+273.15))^1.261 + 4.6151) ) * (E4/101.352)</f>
        <v>1.4123056281118282E-2</v>
      </c>
    </row>
    <row r="11" spans="2:12" x14ac:dyDescent="0.2">
      <c r="B11" s="34" t="s">
        <v>45</v>
      </c>
      <c r="C11" s="35">
        <f>(E3/101.325)*(24 + 4.04*(10^4)*C10*((0.02+C10)/(0.391+C10)))</f>
        <v>69.879245379846083</v>
      </c>
      <c r="D11" s="36">
        <f>(E4/101.325)*(24 + 4.04*(10^4)*D10*((0.02+D10)/(0.391+D10)))</f>
        <v>71.827461167100196</v>
      </c>
    </row>
    <row r="12" spans="2:12" ht="14.45" customHeight="1" thickBot="1" x14ac:dyDescent="0.25">
      <c r="B12" s="37" t="s">
        <v>46</v>
      </c>
      <c r="C12" s="38">
        <f>(E3/101.325)*((C3+273.15)/293.15)^(-0.5) * (9 + 280*C10*EXP(-4.17*(((C3+273.15)/293.15)^(-1/3) - 1)))</f>
        <v>12.79610198793895</v>
      </c>
      <c r="D12" s="39">
        <f>(E4/101.325)*((C4+273.15)/293.15)^(-0.5) * (9 + 280*D10*EXP(-4.17*(((C4+273.15)/293.15)^(-1/3) - 1)))</f>
        <v>12.914242181543393</v>
      </c>
    </row>
    <row r="13" spans="2:12" ht="14.45" customHeight="1" thickBot="1" x14ac:dyDescent="0.25"/>
    <row r="14" spans="2:12" ht="14.45" customHeight="1" thickBot="1" x14ac:dyDescent="0.3">
      <c r="C14" s="135" t="s">
        <v>47</v>
      </c>
      <c r="D14" s="130"/>
      <c r="E14" s="136" t="s">
        <v>48</v>
      </c>
      <c r="F14" s="131"/>
      <c r="G14" s="137" t="s">
        <v>49</v>
      </c>
      <c r="H14" s="138"/>
      <c r="I14" s="137" t="s">
        <v>50</v>
      </c>
      <c r="J14" s="138"/>
      <c r="K14" s="139" t="s">
        <v>51</v>
      </c>
      <c r="L14" s="133" t="s">
        <v>52</v>
      </c>
    </row>
    <row r="15" spans="2:12" ht="14.45" customHeight="1" thickBot="1" x14ac:dyDescent="0.25">
      <c r="B15" s="118" t="s">
        <v>53</v>
      </c>
      <c r="C15" s="98" t="s">
        <v>41</v>
      </c>
      <c r="D15" s="99" t="s">
        <v>54</v>
      </c>
      <c r="E15" s="100" t="s">
        <v>41</v>
      </c>
      <c r="F15" s="101" t="s">
        <v>54</v>
      </c>
      <c r="G15" s="100" t="s">
        <v>55</v>
      </c>
      <c r="H15" s="101" t="s">
        <v>56</v>
      </c>
      <c r="I15" s="100" t="s">
        <v>41</v>
      </c>
      <c r="J15" s="101" t="s">
        <v>54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2.6281926455148544E-3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2.6378020533062226E-3</v>
      </c>
      <c r="E16" s="110">
        <f t="shared" ref="E16:E33" si="2">C16/(10*LOG10(EXP(1)))</f>
        <v>6.0516372070790875E-4</v>
      </c>
      <c r="F16" s="111">
        <f t="shared" ref="F16:F33" si="3">D16/(10*LOG10(EXP(1)))</f>
        <v>6.0737636862119929E-4</v>
      </c>
      <c r="G16" s="95">
        <f>'T1 Empty Room'!L20</f>
        <v>4.830577849</v>
      </c>
      <c r="H16" s="95">
        <f>'T2 With Sample'!B10</f>
        <v>3.0853673705161699</v>
      </c>
      <c r="I16" s="41">
        <f t="shared" ref="I16:I33" si="4">(55.3*$C$6/(C$9*G16))-(4*$C$6*E16)</f>
        <v>6.7804596630353782</v>
      </c>
      <c r="J16" s="36">
        <f t="shared" ref="J16:J33" si="5">(55.3*$C$6/(D$9*H16))-(4*$C$6*F16)</f>
        <v>10.919698088918599</v>
      </c>
      <c r="K16" s="42">
        <f t="shared" ref="K16:K25" si="6">6.5*($C$6/200)^(2/3)</f>
        <v>6.9054094709481486</v>
      </c>
      <c r="L16" s="43">
        <f t="shared" ref="L16:L33" si="7">IF((K16-I16)&gt;0,1,0)</f>
        <v>1</v>
      </c>
    </row>
    <row r="17" spans="2:12" x14ac:dyDescent="0.2">
      <c r="B17" s="40">
        <v>125</v>
      </c>
      <c r="C17" s="108">
        <f t="shared" si="0"/>
        <v>2.9647521463518891E-3</v>
      </c>
      <c r="D17" s="109">
        <f t="shared" si="1"/>
        <v>2.9899561535628809E-3</v>
      </c>
      <c r="E17" s="110">
        <f t="shared" si="2"/>
        <v>6.8265940966119609E-4</v>
      </c>
      <c r="F17" s="111">
        <f t="shared" si="3"/>
        <v>6.8846284678997054E-4</v>
      </c>
      <c r="G17" s="95">
        <f>'T1 Empty Room'!L21</f>
        <v>4.7820358189999999</v>
      </c>
      <c r="H17" s="95">
        <f>'T2 With Sample'!B11</f>
        <v>2.6935938832354398</v>
      </c>
      <c r="I17" s="41">
        <f t="shared" si="4"/>
        <v>6.7867825330310438</v>
      </c>
      <c r="J17" s="36">
        <f t="shared" si="5"/>
        <v>12.514283372863282</v>
      </c>
      <c r="K17" s="42">
        <f t="shared" si="6"/>
        <v>6.9054094709481486</v>
      </c>
      <c r="L17" s="43">
        <f t="shared" si="7"/>
        <v>1</v>
      </c>
    </row>
    <row r="18" spans="2:12" x14ac:dyDescent="0.2">
      <c r="B18" s="40">
        <v>160</v>
      </c>
      <c r="C18" s="108">
        <f t="shared" si="0"/>
        <v>3.2568464013366647E-3</v>
      </c>
      <c r="D18" s="109">
        <f t="shared" si="1"/>
        <v>3.2984048794177778E-3</v>
      </c>
      <c r="E18" s="110">
        <f t="shared" si="2"/>
        <v>7.4991659738891069E-4</v>
      </c>
      <c r="F18" s="111">
        <f t="shared" si="3"/>
        <v>7.5948579060061976E-4</v>
      </c>
      <c r="G18" s="95">
        <f>'T1 Empty Room'!L22</f>
        <v>4.8785170329999996</v>
      </c>
      <c r="H18" s="95">
        <f>'T2 With Sample'!B12</f>
        <v>3.08017053107507</v>
      </c>
      <c r="I18" s="41">
        <f t="shared" si="4"/>
        <v>6.5818180444843719</v>
      </c>
      <c r="J18" s="36">
        <f t="shared" si="5"/>
        <v>10.80577155411207</v>
      </c>
      <c r="K18" s="42">
        <f t="shared" si="6"/>
        <v>6.9054094709481486</v>
      </c>
      <c r="L18" s="43">
        <f t="shared" si="7"/>
        <v>1</v>
      </c>
    </row>
    <row r="19" spans="2:12" x14ac:dyDescent="0.2">
      <c r="B19" s="40">
        <v>200</v>
      </c>
      <c r="C19" s="108">
        <f t="shared" si="0"/>
        <v>3.4507232491481081E-3</v>
      </c>
      <c r="D19" s="109">
        <f t="shared" si="1"/>
        <v>3.5045361287648824E-3</v>
      </c>
      <c r="E19" s="110">
        <f t="shared" si="2"/>
        <v>7.9455839135364123E-4</v>
      </c>
      <c r="F19" s="111">
        <f t="shared" si="3"/>
        <v>8.0694926479530792E-4</v>
      </c>
      <c r="G19" s="95">
        <f>'T1 Empty Room'!L23</f>
        <v>5.6290213119999999</v>
      </c>
      <c r="H19" s="95">
        <f>'T2 With Sample'!B13</f>
        <v>2.86742065996224</v>
      </c>
      <c r="I19" s="41">
        <f t="shared" si="4"/>
        <v>5.577586852302252</v>
      </c>
      <c r="J19" s="36">
        <f t="shared" si="5"/>
        <v>11.615296795193256</v>
      </c>
      <c r="K19" s="42">
        <f t="shared" si="6"/>
        <v>6.9054094709481486</v>
      </c>
      <c r="L19" s="43">
        <f t="shared" si="7"/>
        <v>1</v>
      </c>
    </row>
    <row r="20" spans="2:12" x14ac:dyDescent="0.2">
      <c r="B20" s="40">
        <v>250</v>
      </c>
      <c r="C20" s="108">
        <f t="shared" si="0"/>
        <v>3.5897218361387625E-3</v>
      </c>
      <c r="D20" s="109">
        <f t="shared" si="1"/>
        <v>3.652906003496036E-3</v>
      </c>
      <c r="E20" s="110">
        <f t="shared" si="2"/>
        <v>8.2656399878883288E-4</v>
      </c>
      <c r="F20" s="111">
        <f t="shared" si="3"/>
        <v>8.4111269097584271E-4</v>
      </c>
      <c r="G20" s="95">
        <f>'T1 Empty Room'!L24</f>
        <v>5.459187086</v>
      </c>
      <c r="H20" s="95">
        <f>'T2 With Sample'!B14</f>
        <v>2.4653939847469299</v>
      </c>
      <c r="I20" s="41">
        <f t="shared" si="4"/>
        <v>5.7447210124869068</v>
      </c>
      <c r="J20" s="36">
        <f t="shared" si="5"/>
        <v>13.594722636556991</v>
      </c>
      <c r="K20" s="42">
        <f t="shared" si="6"/>
        <v>6.9054094709481486</v>
      </c>
      <c r="L20" s="43">
        <f t="shared" si="7"/>
        <v>1</v>
      </c>
    </row>
    <row r="21" spans="2:12" x14ac:dyDescent="0.2">
      <c r="B21" s="40">
        <v>315</v>
      </c>
      <c r="C21" s="108">
        <f t="shared" si="0"/>
        <v>3.6908738526767811E-3</v>
      </c>
      <c r="D21" s="109">
        <f t="shared" si="1"/>
        <v>3.7610056277722274E-3</v>
      </c>
      <c r="E21" s="110">
        <f t="shared" si="2"/>
        <v>8.4985511132950578E-4</v>
      </c>
      <c r="F21" s="111">
        <f t="shared" si="3"/>
        <v>8.6600354931750431E-4</v>
      </c>
      <c r="G21" s="95">
        <f>'T1 Empty Room'!L25</f>
        <v>6.0724506360000001</v>
      </c>
      <c r="H21" s="95">
        <f>'T2 With Sample'!B15</f>
        <v>2.51756531854413</v>
      </c>
      <c r="I21" s="41">
        <f t="shared" si="4"/>
        <v>5.0710275856901719</v>
      </c>
      <c r="J21" s="36">
        <f t="shared" si="5"/>
        <v>13.275926776898135</v>
      </c>
      <c r="K21" s="42">
        <f t="shared" si="6"/>
        <v>6.9054094709481486</v>
      </c>
      <c r="L21" s="43">
        <f t="shared" si="7"/>
        <v>1</v>
      </c>
    </row>
    <row r="22" spans="2:12" x14ac:dyDescent="0.2">
      <c r="B22" s="40">
        <v>400</v>
      </c>
      <c r="C22" s="108">
        <f t="shared" si="0"/>
        <v>3.7650403756562373E-3</v>
      </c>
      <c r="D22" s="109">
        <f t="shared" si="1"/>
        <v>3.8400347826031164E-3</v>
      </c>
      <c r="E22" s="110">
        <f t="shared" si="2"/>
        <v>8.6693258435067532E-4</v>
      </c>
      <c r="F22" s="111">
        <f t="shared" si="3"/>
        <v>8.8420068470005666E-4</v>
      </c>
      <c r="G22" s="95">
        <f>'T1 Empty Room'!L26</f>
        <v>5.7949976090000002</v>
      </c>
      <c r="H22" s="95">
        <f>'T2 With Sample'!B16</f>
        <v>2.5739118470851001</v>
      </c>
      <c r="I22" s="41">
        <f t="shared" si="4"/>
        <v>5.3345023920184973</v>
      </c>
      <c r="J22" s="36">
        <f t="shared" si="5"/>
        <v>12.952750257218094</v>
      </c>
      <c r="K22" s="42">
        <f t="shared" si="6"/>
        <v>6.9054094709481486</v>
      </c>
      <c r="L22" s="43">
        <f t="shared" si="7"/>
        <v>1</v>
      </c>
    </row>
    <row r="23" spans="2:12" x14ac:dyDescent="0.2">
      <c r="B23" s="40">
        <v>500</v>
      </c>
      <c r="C23" s="108">
        <f t="shared" si="0"/>
        <v>3.8184347806860483E-3</v>
      </c>
      <c r="D23" s="109">
        <f t="shared" si="1"/>
        <v>3.8964316455678298E-3</v>
      </c>
      <c r="E23" s="110">
        <f t="shared" si="2"/>
        <v>8.792271004577683E-4</v>
      </c>
      <c r="F23" s="111">
        <f t="shared" si="3"/>
        <v>8.9718654229547438E-4</v>
      </c>
      <c r="G23" s="95">
        <f>'T1 Empty Room'!L27</f>
        <v>5.3166830579999997</v>
      </c>
      <c r="H23" s="95">
        <f>'T2 With Sample'!B17</f>
        <v>2.43999449598294</v>
      </c>
      <c r="I23" s="41">
        <f t="shared" si="4"/>
        <v>5.8719723252444664</v>
      </c>
      <c r="J23" s="36">
        <f t="shared" si="5"/>
        <v>13.694788230962361</v>
      </c>
      <c r="K23" s="42">
        <f t="shared" si="6"/>
        <v>6.9054094709481486</v>
      </c>
      <c r="L23" s="43">
        <f t="shared" si="7"/>
        <v>1</v>
      </c>
    </row>
    <row r="24" spans="2:12" x14ac:dyDescent="0.2">
      <c r="B24" s="40">
        <v>630</v>
      </c>
      <c r="C24" s="108">
        <f t="shared" si="0"/>
        <v>3.8680846081944843E-3</v>
      </c>
      <c r="D24" s="109">
        <f t="shared" si="1"/>
        <v>3.9481131945714541E-3</v>
      </c>
      <c r="E24" s="110">
        <f t="shared" si="2"/>
        <v>8.9065939572683327E-4</v>
      </c>
      <c r="F24" s="111">
        <f t="shared" si="3"/>
        <v>9.0908665872733302E-4</v>
      </c>
      <c r="G24" s="95">
        <f>'T1 Empty Room'!L28</f>
        <v>5.0198503060000004</v>
      </c>
      <c r="H24" s="95">
        <f>'T2 With Sample'!B18</f>
        <v>2.3138618539096298</v>
      </c>
      <c r="I24" s="41">
        <f t="shared" si="4"/>
        <v>6.2547213711672374</v>
      </c>
      <c r="J24" s="36">
        <f t="shared" si="5"/>
        <v>14.473733210561965</v>
      </c>
      <c r="K24" s="42">
        <f t="shared" si="6"/>
        <v>6.9054094709481486</v>
      </c>
      <c r="L24" s="43">
        <f t="shared" si="7"/>
        <v>1</v>
      </c>
    </row>
    <row r="25" spans="2:12" x14ac:dyDescent="0.2">
      <c r="B25" s="40">
        <v>800</v>
      </c>
      <c r="C25" s="108">
        <f t="shared" si="0"/>
        <v>3.9241270179444006E-3</v>
      </c>
      <c r="D25" s="109">
        <f t="shared" si="1"/>
        <v>4.0054844580125473E-3</v>
      </c>
      <c r="E25" s="110">
        <f t="shared" si="2"/>
        <v>9.0356363745339543E-4</v>
      </c>
      <c r="F25" s="111">
        <f t="shared" si="3"/>
        <v>9.2229688032390261E-4</v>
      </c>
      <c r="G25" s="95">
        <f>'T1 Empty Room'!L29</f>
        <v>4.9103320779999997</v>
      </c>
      <c r="H25" s="95">
        <f>'T2 With Sample'!B19</f>
        <v>2.1123592288966901</v>
      </c>
      <c r="I25" s="41">
        <f t="shared" si="4"/>
        <v>6.400321929340949</v>
      </c>
      <c r="J25" s="36">
        <f t="shared" si="5"/>
        <v>15.918809057648167</v>
      </c>
      <c r="K25" s="42">
        <f t="shared" si="6"/>
        <v>6.9054094709481486</v>
      </c>
      <c r="L25" s="43">
        <f t="shared" si="7"/>
        <v>1</v>
      </c>
    </row>
    <row r="26" spans="2:12" x14ac:dyDescent="0.2">
      <c r="B26" s="40">
        <v>1000</v>
      </c>
      <c r="C26" s="108">
        <f t="shared" si="0"/>
        <v>3.9919461248180063E-3</v>
      </c>
      <c r="D26" s="109">
        <f t="shared" si="1"/>
        <v>4.074077133086453E-3</v>
      </c>
      <c r="E26" s="110">
        <f t="shared" si="2"/>
        <v>9.1917956390412891E-4</v>
      </c>
      <c r="F26" s="111">
        <f t="shared" si="3"/>
        <v>9.3809092743527857E-4</v>
      </c>
      <c r="G26" s="95">
        <f>'T1 Empty Room'!L30</f>
        <v>4.8231498139999998</v>
      </c>
      <c r="H26" s="95">
        <f>'T2 With Sample'!B20</f>
        <v>1.9865323522312699</v>
      </c>
      <c r="I26" s="41">
        <f t="shared" si="4"/>
        <v>6.5166406648160526</v>
      </c>
      <c r="J26" s="36">
        <f t="shared" si="5"/>
        <v>16.964444560358697</v>
      </c>
      <c r="K26" s="42">
        <f>7*($C$6/200)^(2/3)</f>
        <v>7.4365948148672363</v>
      </c>
      <c r="L26" s="43">
        <f t="shared" si="7"/>
        <v>1</v>
      </c>
    </row>
    <row r="27" spans="2:12" x14ac:dyDescent="0.2">
      <c r="B27" s="40">
        <v>1250</v>
      </c>
      <c r="C27" s="108">
        <f t="shared" si="0"/>
        <v>4.0886180988564226E-3</v>
      </c>
      <c r="D27" s="109">
        <f t="shared" si="1"/>
        <v>4.171221005791796E-3</v>
      </c>
      <c r="E27" s="110">
        <f t="shared" si="2"/>
        <v>9.4143910853724535E-4</v>
      </c>
      <c r="F27" s="111">
        <f t="shared" si="3"/>
        <v>9.6045913075198193E-4</v>
      </c>
      <c r="G27" s="95">
        <f>'T1 Empty Room'!L31</f>
        <v>4.7364994119999997</v>
      </c>
      <c r="H27" s="95">
        <f>'T2 With Sample'!B21</f>
        <v>1.94548757954165</v>
      </c>
      <c r="I27" s="41">
        <f t="shared" si="4"/>
        <v>6.6310884436346109</v>
      </c>
      <c r="J27" s="36">
        <f t="shared" si="5"/>
        <v>17.320093241175012</v>
      </c>
      <c r="K27" s="42">
        <f>7.5*($C$6/200)^(2/3)</f>
        <v>7.9677801587863248</v>
      </c>
      <c r="L27" s="43">
        <f t="shared" si="7"/>
        <v>1</v>
      </c>
    </row>
    <row r="28" spans="2:12" x14ac:dyDescent="0.2">
      <c r="B28" s="40">
        <v>1600</v>
      </c>
      <c r="C28" s="108">
        <f t="shared" si="0"/>
        <v>4.2530412113541485E-3</v>
      </c>
      <c r="D28" s="109">
        <f t="shared" si="1"/>
        <v>4.3359229951212769E-3</v>
      </c>
      <c r="E28" s="110">
        <f t="shared" si="2"/>
        <v>9.7929892931534015E-4</v>
      </c>
      <c r="F28" s="111">
        <f t="shared" si="3"/>
        <v>9.9838316529363472E-4</v>
      </c>
      <c r="G28" s="95">
        <f>'T1 Empty Room'!L32</f>
        <v>4.5177436450000004</v>
      </c>
      <c r="H28" s="95">
        <f>'T2 With Sample'!B22</f>
        <v>1.89120420399092</v>
      </c>
      <c r="I28" s="41">
        <f t="shared" si="4"/>
        <v>6.9589434737220053</v>
      </c>
      <c r="J28" s="36">
        <f t="shared" si="5"/>
        <v>17.808161399165378</v>
      </c>
      <c r="K28" s="42">
        <f>8*($C$6/200)^(2/3)</f>
        <v>8.4989655027054134</v>
      </c>
      <c r="L28" s="43">
        <f t="shared" si="7"/>
        <v>1</v>
      </c>
    </row>
    <row r="29" spans="2:12" x14ac:dyDescent="0.2">
      <c r="B29" s="40">
        <v>2000</v>
      </c>
      <c r="C29" s="108">
        <f t="shared" si="0"/>
        <v>4.4864372860412014E-3</v>
      </c>
      <c r="D29" s="109">
        <f t="shared" si="1"/>
        <v>4.5694049907233662E-3</v>
      </c>
      <c r="E29" s="110">
        <f t="shared" si="2"/>
        <v>1.0330403615491134E-3</v>
      </c>
      <c r="F29" s="111">
        <f t="shared" si="3"/>
        <v>1.0521443815492218E-3</v>
      </c>
      <c r="G29" s="95">
        <f>'T1 Empty Room'!L33</f>
        <v>3.7432550340000001</v>
      </c>
      <c r="H29" s="95">
        <f>'T2 With Sample'!B23</f>
        <v>1.78641959380725</v>
      </c>
      <c r="I29" s="41">
        <f t="shared" si="4"/>
        <v>8.5291829264875574</v>
      </c>
      <c r="J29" s="36">
        <f t="shared" si="5"/>
        <v>18.856925667645619</v>
      </c>
      <c r="K29" s="42">
        <f>9.5*($C$6/200)^(2/3)</f>
        <v>10.092521534462678</v>
      </c>
      <c r="L29" s="43">
        <f t="shared" si="7"/>
        <v>1</v>
      </c>
    </row>
    <row r="30" spans="2:12" x14ac:dyDescent="0.2">
      <c r="B30" s="40">
        <v>2500</v>
      </c>
      <c r="C30" s="108">
        <f t="shared" si="0"/>
        <v>4.8487675233017903E-3</v>
      </c>
      <c r="D30" s="109">
        <f t="shared" si="1"/>
        <v>4.9316814456833204E-3</v>
      </c>
      <c r="E30" s="110">
        <f t="shared" si="2"/>
        <v>1.1164699818548361E-3</v>
      </c>
      <c r="F30" s="111">
        <f t="shared" si="3"/>
        <v>1.1355616180225739E-3</v>
      </c>
      <c r="G30" s="95">
        <f>'T1 Empty Room'!L34</f>
        <v>3.4305157999999998</v>
      </c>
      <c r="H30" s="95">
        <f>'T2 With Sample'!B24</f>
        <v>1.7275117172524701</v>
      </c>
      <c r="I30" s="41">
        <f t="shared" si="4"/>
        <v>9.3161504194873235</v>
      </c>
      <c r="J30" s="36">
        <f t="shared" si="5"/>
        <v>19.458299444201195</v>
      </c>
      <c r="K30" s="42">
        <f>10.5*($C$6/200)^(2/3)</f>
        <v>11.154892222300855</v>
      </c>
      <c r="L30" s="43">
        <f t="shared" si="7"/>
        <v>1</v>
      </c>
    </row>
    <row r="31" spans="2:12" x14ac:dyDescent="0.2">
      <c r="B31" s="40">
        <v>3150</v>
      </c>
      <c r="C31" s="108">
        <f t="shared" si="0"/>
        <v>5.4385796349334381E-3</v>
      </c>
      <c r="D31" s="109">
        <f t="shared" si="1"/>
        <v>5.521278365506835E-3</v>
      </c>
      <c r="E31" s="110">
        <f t="shared" si="2"/>
        <v>1.2522792394458733E-3</v>
      </c>
      <c r="F31" s="111">
        <f t="shared" si="3"/>
        <v>1.2713213258686569E-3</v>
      </c>
      <c r="G31" s="95">
        <f>'T1 Empty Room'!L35</f>
        <v>2.8724516420000001</v>
      </c>
      <c r="H31" s="95">
        <f>'T2 With Sample'!B25</f>
        <v>1.62578605531623</v>
      </c>
      <c r="I31" s="41">
        <f t="shared" si="4"/>
        <v>11.197149677393753</v>
      </c>
      <c r="J31" s="36">
        <f t="shared" si="5"/>
        <v>20.619124241635195</v>
      </c>
      <c r="K31" s="42">
        <f>12*($C$6/200)^(2/3)</f>
        <v>12.74844825405812</v>
      </c>
      <c r="L31" s="43">
        <f t="shared" si="7"/>
        <v>1</v>
      </c>
    </row>
    <row r="32" spans="2:12" x14ac:dyDescent="0.2">
      <c r="B32" s="40">
        <v>4000</v>
      </c>
      <c r="C32" s="108">
        <f t="shared" si="0"/>
        <v>6.4135555446597674E-3</v>
      </c>
      <c r="D32" s="109">
        <f t="shared" si="1"/>
        <v>6.4958112460841502E-3</v>
      </c>
      <c r="E32" s="110">
        <f t="shared" si="2"/>
        <v>1.4767757390222887E-3</v>
      </c>
      <c r="F32" s="111">
        <f t="shared" si="3"/>
        <v>1.4957158142136441E-3</v>
      </c>
      <c r="G32" s="95">
        <f>'T1 Empty Room'!L36</f>
        <v>2.5327698249999999</v>
      </c>
      <c r="H32" s="95">
        <f>'T2 With Sample'!B26</f>
        <v>1.5169488289806801</v>
      </c>
      <c r="I32" s="41">
        <f t="shared" si="4"/>
        <v>12.64931722196288</v>
      </c>
      <c r="J32" s="36">
        <f t="shared" si="5"/>
        <v>21.98182800514374</v>
      </c>
      <c r="K32" s="42">
        <f>13*($C$6/200)^(2/3)</f>
        <v>13.810818941896297</v>
      </c>
      <c r="L32" s="43">
        <f t="shared" si="7"/>
        <v>1</v>
      </c>
    </row>
    <row r="33" spans="2:12" ht="14.45" customHeight="1" thickBot="1" x14ac:dyDescent="0.25">
      <c r="B33" s="44">
        <v>5000</v>
      </c>
      <c r="C33" s="112">
        <f t="shared" si="0"/>
        <v>7.8567486925778737E-3</v>
      </c>
      <c r="D33" s="113">
        <f t="shared" si="1"/>
        <v>7.9382985134034724E-3</v>
      </c>
      <c r="E33" s="114">
        <f t="shared" si="2"/>
        <v>1.8090832418930271E-3</v>
      </c>
      <c r="F33" s="115">
        <f t="shared" si="3"/>
        <v>1.8278607820699628E-3</v>
      </c>
      <c r="G33" s="96">
        <f>'T1 Empty Room'!L37</f>
        <v>2.2454059979999998</v>
      </c>
      <c r="H33" s="96">
        <f>'T2 With Sample'!B27</f>
        <v>1.42489001409366</v>
      </c>
      <c r="I33" s="45">
        <f t="shared" si="4"/>
        <v>14.142617431311248</v>
      </c>
      <c r="J33" s="39">
        <f t="shared" si="5"/>
        <v>23.195715566317311</v>
      </c>
      <c r="K33" s="46">
        <f>14*($C$6/200)^(2/3)</f>
        <v>14.873189629734473</v>
      </c>
      <c r="L33" s="43">
        <f t="shared" si="7"/>
        <v>1</v>
      </c>
    </row>
    <row r="34" spans="2:12" ht="14.45" customHeight="1" thickBot="1" x14ac:dyDescent="0.25">
      <c r="H34" s="97"/>
      <c r="L34" s="55" t="b">
        <f>IF(SUM(L16:L33)=18,TRUE,FALSE)</f>
        <v>1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2" operator="equal">
      <formula>1</formula>
    </cfRule>
    <cfRule type="cellIs" dxfId="1" priority="3" operator="equal">
      <formula>1</formula>
    </cfRule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10" zoomScale="98" zoomScaleNormal="98" workbookViewId="0">
      <selection activeCell="E39" sqref="E39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32" width="9.140625" style="119" customWidth="1"/>
    <col min="33" max="16384" width="9.140625" style="119"/>
  </cols>
  <sheetData>
    <row r="1" spans="1:26" ht="15.6" customHeight="1" x14ac:dyDescent="0.25">
      <c r="A1" s="140" t="s">
        <v>57</v>
      </c>
      <c r="B1" s="141"/>
      <c r="C1" s="141"/>
      <c r="D1" s="141"/>
      <c r="E1" s="141"/>
      <c r="F1" s="141"/>
      <c r="G1" s="141"/>
      <c r="H1" s="141"/>
      <c r="I1" s="141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53" t="s">
        <v>58</v>
      </c>
      <c r="B3" s="127"/>
      <c r="C3" s="152" t="s">
        <v>59</v>
      </c>
      <c r="D3" s="126"/>
      <c r="E3" s="127"/>
      <c r="F3" s="124"/>
    </row>
    <row r="4" spans="1:26" ht="15" customHeight="1" x14ac:dyDescent="0.25">
      <c r="A4" s="153" t="s">
        <v>60</v>
      </c>
      <c r="B4" s="127"/>
      <c r="C4" s="155">
        <v>44229</v>
      </c>
      <c r="D4" s="126"/>
      <c r="E4" s="127"/>
      <c r="F4" s="124"/>
    </row>
    <row r="5" spans="1:26" ht="15" customHeight="1" x14ac:dyDescent="0.25">
      <c r="A5" s="150" t="s">
        <v>61</v>
      </c>
      <c r="B5" s="127"/>
      <c r="C5" s="152" t="s">
        <v>62</v>
      </c>
      <c r="D5" s="126"/>
      <c r="E5" s="127"/>
      <c r="F5" s="124"/>
    </row>
    <row r="6" spans="1:26" ht="30" customHeight="1" x14ac:dyDescent="0.25">
      <c r="A6" s="76" t="s">
        <v>63</v>
      </c>
      <c r="B6" s="123"/>
      <c r="C6" s="156" t="s">
        <v>64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50" t="s">
        <v>65</v>
      </c>
      <c r="B7" s="127"/>
      <c r="C7" s="152" t="s">
        <v>66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50" t="s">
        <v>67</v>
      </c>
      <c r="B8" s="127"/>
      <c r="C8" s="152" t="s">
        <v>68</v>
      </c>
      <c r="D8" s="126"/>
      <c r="E8" s="127"/>
      <c r="F8" s="56"/>
      <c r="G8" s="157" t="s">
        <v>69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50" t="s">
        <v>70</v>
      </c>
      <c r="B9" s="127"/>
      <c r="C9" s="152">
        <v>15</v>
      </c>
      <c r="D9" s="126"/>
      <c r="E9" s="127"/>
      <c r="F9" s="56"/>
      <c r="G9" s="151" t="s">
        <v>71</v>
      </c>
      <c r="H9" s="127"/>
      <c r="I9" s="85">
        <f>('Initial Parameters'!C3+'Initial Parameters'!C4)/2</f>
        <v>19.75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53" t="s">
        <v>72</v>
      </c>
      <c r="B10" s="127"/>
      <c r="C10" s="152">
        <f>2.99*3.59</f>
        <v>10.7341</v>
      </c>
      <c r="D10" s="126"/>
      <c r="E10" s="127"/>
      <c r="F10" s="56"/>
      <c r="G10" s="151" t="s">
        <v>73</v>
      </c>
      <c r="H10" s="127"/>
      <c r="I10" s="85">
        <f>('Initial Parameters'!D3+'Initial Parameters'!D4)/2</f>
        <v>0.61499999999999999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53" t="s">
        <v>74</v>
      </c>
      <c r="B11" s="127"/>
      <c r="C11" s="152" t="s">
        <v>75</v>
      </c>
      <c r="D11" s="126"/>
      <c r="E11" s="127"/>
      <c r="F11" s="56"/>
      <c r="G11" s="151" t="s">
        <v>76</v>
      </c>
      <c r="H11" s="127"/>
      <c r="I11" s="85">
        <f>('Initial Parameters'!E3+'Initial Parameters'!E4)/2</f>
        <v>101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54"/>
      <c r="B13" s="141"/>
      <c r="C13" s="141"/>
      <c r="D13" s="141"/>
      <c r="T13" s="11"/>
      <c r="U13" s="11"/>
      <c r="V13" s="11"/>
      <c r="W13" s="11"/>
      <c r="X13" s="11"/>
      <c r="Y13" s="11"/>
    </row>
    <row r="14" spans="1:26" ht="15" customHeight="1" x14ac:dyDescent="0.25">
      <c r="A14" s="148" t="s">
        <v>77</v>
      </c>
      <c r="B14" s="126"/>
      <c r="C14" s="149" t="str">
        <f>C5</f>
        <v>C Max tec</v>
      </c>
      <c r="D14" s="127"/>
      <c r="Z14" s="11"/>
    </row>
    <row r="15" spans="1:26" ht="30.6" customHeight="1" x14ac:dyDescent="0.2">
      <c r="A15" s="18" t="s">
        <v>78</v>
      </c>
      <c r="B15" s="18" t="s">
        <v>79</v>
      </c>
      <c r="C15" s="18" t="s">
        <v>80</v>
      </c>
      <c r="D15" s="18" t="s">
        <v>81</v>
      </c>
    </row>
    <row r="16" spans="1:26" x14ac:dyDescent="0.2">
      <c r="A16" s="13">
        <v>100</v>
      </c>
      <c r="B16" s="120">
        <f>'Initial Parameters'!G16</f>
        <v>4.830577849</v>
      </c>
      <c r="C16" s="120">
        <f>'Initial Parameters'!H16</f>
        <v>3.0853673705161699</v>
      </c>
      <c r="D16" s="120">
        <f>('Absorption Area'!C6-'Absorption Area'!B6)/$C$10</f>
        <v>0.38561578761919685</v>
      </c>
    </row>
    <row r="17" spans="1:6" x14ac:dyDescent="0.2">
      <c r="A17" s="13">
        <v>125</v>
      </c>
      <c r="B17" s="120">
        <f>'Initial Parameters'!G17</f>
        <v>4.7820358189999999</v>
      </c>
      <c r="C17" s="120">
        <f>'Initial Parameters'!H17</f>
        <v>2.6935938832354398</v>
      </c>
      <c r="D17" s="120">
        <f>('Absorption Area'!C7-'Absorption Area'!B7)/$C$10</f>
        <v>0.53357997781204192</v>
      </c>
    </row>
    <row r="18" spans="1:6" x14ac:dyDescent="0.2">
      <c r="A18" s="13">
        <v>160</v>
      </c>
      <c r="B18" s="120">
        <f>'Initial Parameters'!G18</f>
        <v>4.8785170329999996</v>
      </c>
      <c r="C18" s="120">
        <f>'Initial Parameters'!H18</f>
        <v>3.08017053107507</v>
      </c>
      <c r="D18" s="120">
        <f>('Absorption Area'!C8-'Absorption Area'!B8)/$C$10</f>
        <v>0.39350793356012131</v>
      </c>
    </row>
    <row r="19" spans="1:6" x14ac:dyDescent="0.2">
      <c r="A19" s="13">
        <v>200</v>
      </c>
      <c r="B19" s="120">
        <f>'Initial Parameters'!G19</f>
        <v>5.6290213119999999</v>
      </c>
      <c r="C19" s="120">
        <f>'Initial Parameters'!H19</f>
        <v>2.86742065996224</v>
      </c>
      <c r="D19" s="120">
        <f>('Absorption Area'!C9-'Absorption Area'!B9)/$C$10</f>
        <v>0.5624793827979061</v>
      </c>
    </row>
    <row r="20" spans="1:6" x14ac:dyDescent="0.2">
      <c r="A20" s="13">
        <v>250</v>
      </c>
      <c r="B20" s="120">
        <f>'Initial Parameters'!G20</f>
        <v>5.459187086</v>
      </c>
      <c r="C20" s="120">
        <f>'Initial Parameters'!H20</f>
        <v>2.4653939847469299</v>
      </c>
      <c r="D20" s="120">
        <f>('Absorption Area'!C10-'Absorption Area'!B10)/$C$10</f>
        <v>0.73131437419719258</v>
      </c>
    </row>
    <row r="21" spans="1:6" x14ac:dyDescent="0.2">
      <c r="A21" s="13">
        <v>315</v>
      </c>
      <c r="B21" s="120">
        <f>'Initial Parameters'!G21</f>
        <v>6.0724506360000001</v>
      </c>
      <c r="C21" s="120">
        <f>'Initial Parameters'!H21</f>
        <v>2.51756531854413</v>
      </c>
      <c r="D21" s="120">
        <f>('Absorption Area'!C11-'Absorption Area'!B11)/$C$10</f>
        <v>0.76437700330795921</v>
      </c>
    </row>
    <row r="22" spans="1:6" x14ac:dyDescent="0.2">
      <c r="A22" s="13">
        <v>400</v>
      </c>
      <c r="B22" s="120">
        <f>'Initial Parameters'!G22</f>
        <v>5.7949976090000002</v>
      </c>
      <c r="C22" s="120">
        <f>'Initial Parameters'!H22</f>
        <v>2.5739118470851001</v>
      </c>
      <c r="D22" s="120">
        <f>('Absorption Area'!C12-'Absorption Area'!B12)/$C$10</f>
        <v>0.70972395125810239</v>
      </c>
    </row>
    <row r="23" spans="1:6" x14ac:dyDescent="0.2">
      <c r="A23" s="13">
        <v>500</v>
      </c>
      <c r="B23" s="120">
        <f>'Initial Parameters'!G23</f>
        <v>5.3166830579999997</v>
      </c>
      <c r="C23" s="120">
        <f>'Initial Parameters'!H23</f>
        <v>2.43999449598294</v>
      </c>
      <c r="D23" s="120">
        <f>('Absorption Area'!C13-'Absorption Area'!B13)/$C$10</f>
        <v>0.72878172419838594</v>
      </c>
    </row>
    <row r="24" spans="1:6" x14ac:dyDescent="0.2">
      <c r="A24" s="13">
        <v>630</v>
      </c>
      <c r="B24" s="120">
        <f>'Initial Parameters'!G24</f>
        <v>5.0198503060000004</v>
      </c>
      <c r="C24" s="120">
        <f>'Initial Parameters'!H24</f>
        <v>2.3138618539096298</v>
      </c>
      <c r="D24" s="120">
        <f>('Absorption Area'!C14-'Absorption Area'!B14)/$C$10</f>
        <v>0.76569175239607679</v>
      </c>
    </row>
    <row r="25" spans="1:6" x14ac:dyDescent="0.2">
      <c r="A25" s="13">
        <v>800</v>
      </c>
      <c r="B25" s="120">
        <f>'Initial Parameters'!G25</f>
        <v>4.9103320779999997</v>
      </c>
      <c r="C25" s="120">
        <f>'Initial Parameters'!H25</f>
        <v>2.1123592288966901</v>
      </c>
      <c r="D25" s="120">
        <f>('Absorption Area'!C15-'Absorption Area'!B15)/$C$10</f>
        <v>0.88675223151519156</v>
      </c>
    </row>
    <row r="26" spans="1:6" x14ac:dyDescent="0.2">
      <c r="A26" s="13">
        <v>1000</v>
      </c>
      <c r="B26" s="120">
        <f>'Initial Parameters'!G26</f>
        <v>4.8231498139999998</v>
      </c>
      <c r="C26" s="120">
        <f>'Initial Parameters'!H26</f>
        <v>1.9865323522312699</v>
      </c>
      <c r="D26" s="120">
        <f>('Absorption Area'!C16-'Absorption Area'!B16)/$C$10</f>
        <v>0.97332835501277659</v>
      </c>
    </row>
    <row r="27" spans="1:6" x14ac:dyDescent="0.2">
      <c r="A27" s="13">
        <v>1250</v>
      </c>
      <c r="B27" s="120">
        <f>'Initial Parameters'!G27</f>
        <v>4.7364994119999997</v>
      </c>
      <c r="C27" s="120">
        <f>'Initial Parameters'!H27</f>
        <v>1.94548757954165</v>
      </c>
      <c r="D27" s="120">
        <f>('Absorption Area'!C17-'Absorption Area'!B17)/$C$10</f>
        <v>0.99579888370151226</v>
      </c>
    </row>
    <row r="28" spans="1:6" x14ac:dyDescent="0.2">
      <c r="A28" s="13">
        <v>1600</v>
      </c>
      <c r="B28" s="120">
        <f>'Initial Parameters'!G28</f>
        <v>4.5177436450000004</v>
      </c>
      <c r="C28" s="120">
        <f>'Initial Parameters'!H28</f>
        <v>1.89120420399092</v>
      </c>
      <c r="D28" s="120">
        <f>('Absorption Area'!C18-'Absorption Area'!B18)/$C$10</f>
        <v>1.010724506520656</v>
      </c>
    </row>
    <row r="29" spans="1:6" x14ac:dyDescent="0.2">
      <c r="A29" s="13">
        <v>2000</v>
      </c>
      <c r="B29" s="120">
        <f>'Initial Parameters'!G29</f>
        <v>3.7432550340000001</v>
      </c>
      <c r="C29" s="120">
        <f>'Initial Parameters'!H29</f>
        <v>1.78641959380725</v>
      </c>
      <c r="D29" s="120">
        <f>('Absorption Area'!C19-'Absorption Area'!B19)/$C$10</f>
        <v>0.9621433321059113</v>
      </c>
    </row>
    <row r="30" spans="1:6" x14ac:dyDescent="0.2">
      <c r="A30" s="13">
        <v>2500</v>
      </c>
      <c r="B30" s="120">
        <f>'Initial Parameters'!G30</f>
        <v>3.4305157999999998</v>
      </c>
      <c r="C30" s="120">
        <f>'Initial Parameters'!H30</f>
        <v>1.7275117172524701</v>
      </c>
      <c r="D30" s="120">
        <f>('Absorption Area'!C20-'Absorption Area'!B20)/$C$10</f>
        <v>0.94485322707202946</v>
      </c>
    </row>
    <row r="31" spans="1:6" x14ac:dyDescent="0.2">
      <c r="A31" s="13">
        <v>3150</v>
      </c>
      <c r="B31" s="120">
        <f>'Initial Parameters'!G31</f>
        <v>2.8724516420000001</v>
      </c>
      <c r="C31" s="120">
        <f>'Initial Parameters'!H31</f>
        <v>1.62578605531623</v>
      </c>
      <c r="D31" s="120">
        <f>('Absorption Area'!C21-'Absorption Area'!B21)/$C$10</f>
        <v>0.87776101994964106</v>
      </c>
    </row>
    <row r="32" spans="1:6" x14ac:dyDescent="0.2">
      <c r="A32" s="50">
        <v>4000</v>
      </c>
      <c r="B32" s="54">
        <f>'Initial Parameters'!G32</f>
        <v>2.5327698249999999</v>
      </c>
      <c r="C32" s="54">
        <f>'Initial Parameters'!H32</f>
        <v>1.5169488289806801</v>
      </c>
      <c r="D32" s="54">
        <f>('Absorption Area'!C22-'Absorption Area'!B22)/$C$10</f>
        <v>0.8694264803924745</v>
      </c>
      <c r="F32" s="52"/>
    </row>
    <row r="33" spans="1:8" x14ac:dyDescent="0.2">
      <c r="A33" s="13">
        <v>5000</v>
      </c>
      <c r="B33" s="120">
        <f>'Initial Parameters'!G33</f>
        <v>2.2454059979999998</v>
      </c>
      <c r="C33" s="120">
        <f>'Initial Parameters'!H33</f>
        <v>1.42489001409366</v>
      </c>
      <c r="D33" s="120">
        <f>('Absorption Area'!C23-'Absorption Area'!B23)/$C$10</f>
        <v>0.84339610540297405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82</v>
      </c>
    </row>
    <row r="37" spans="1:8" ht="15" customHeight="1" x14ac:dyDescent="0.25">
      <c r="A37" s="147" t="s">
        <v>83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53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84</v>
      </c>
      <c r="B39" s="120">
        <f>IF( ROUND(ROUND((D16+D17+D18)/3,2)/0.05, 0 )*0.05 &gt; 1, 1, ROUND(ROUND((D16+D17+D18)/3,2)/0.05, 0 )*0.05 )</f>
        <v>0.45</v>
      </c>
      <c r="C39" s="120">
        <f>IF( ROUND(ROUND((D19+D20+D21)/3,2)/0.05, 0 )*0.05 &gt; 1, 1, ROUND(ROUND((D19+D20+D21)/3,2)/0.05, 0 )*0.05 )</f>
        <v>0.70000000000000007</v>
      </c>
      <c r="D39" s="120">
        <f>IF( ROUND(ROUND((SUM(D22:D24))/3,2)/0.05, 0 )*0.05 &gt; 1, 1, ROUND(ROUND((SUM(D22:D24))/3,2)/0.05, 0 )*0.05 )</f>
        <v>0.75</v>
      </c>
      <c r="E39" s="120">
        <f>IF( ROUND(ROUND((SUM(D25:D27))/3,2)/0.05, 0 )*0.05 &gt; 1, 1, ROUND(ROUND((SUM(D25:D27))/3,2)/0.05, 0 )*0.05 )</f>
        <v>0.95000000000000007</v>
      </c>
      <c r="F39" s="120">
        <f>IF( ROUND(ROUND((SUM(D28:D30))/3,2)/0.05, 0 )*0.05 &gt; 1, 1, ROUND(ROUND((SUM(D28:D30))/3,2)/0.05, 0 )*0.05 )</f>
        <v>0.95000000000000007</v>
      </c>
      <c r="G39" s="120">
        <f>IF( ROUND(ROUND((SUM(D31:D33))/3,2)/0.05, 0 )*0.05 &gt; 1, 1, ROUND(ROUND((SUM(D31:D33))/3,2)/0.05, 0 )*0.05 )</f>
        <v>0.85000000000000009</v>
      </c>
    </row>
    <row r="42" spans="1:8" x14ac:dyDescent="0.2">
      <c r="A42" s="76" t="s">
        <v>85</v>
      </c>
      <c r="B42" s="76"/>
      <c r="C42" s="76"/>
      <c r="D42" s="77"/>
    </row>
    <row r="43" spans="1:8" ht="11.45" customHeight="1" x14ac:dyDescent="0.25">
      <c r="A43" s="145" t="s">
        <v>86</v>
      </c>
      <c r="B43" s="127"/>
      <c r="C43" s="142">
        <f>'Background calcs'!Q3</f>
        <v>0.85</v>
      </c>
      <c r="D43" s="127"/>
    </row>
    <row r="44" spans="1:8" ht="15" customHeight="1" x14ac:dyDescent="0.25">
      <c r="A44" s="76" t="s">
        <v>87</v>
      </c>
      <c r="B44" s="74"/>
      <c r="C44" s="143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88</v>
      </c>
      <c r="B45" s="74"/>
      <c r="C45" s="144" t="str">
        <f>IF( 'Output for Report'!C43&gt;=0.9, "A", IF( 'Output for Report'!C43&gt;=0.8, "B", IF( 'Output for Report'!C43&gt;=0.6, "C", IF( 'Output for Report'!C43&gt;=0.3, "D", IF( 'Output for Report'!C43&gt;=0.1, "E", "Not Classifiable" ) ) ) ) )</f>
        <v>B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46" t="s">
        <v>89</v>
      </c>
      <c r="B48" s="141"/>
      <c r="C48" s="141"/>
      <c r="D48" s="141"/>
    </row>
    <row r="49" spans="1:8" ht="15" customHeight="1" x14ac:dyDescent="0.25">
      <c r="A49" s="76" t="s">
        <v>90</v>
      </c>
      <c r="B49" s="142">
        <f>ROUND((D20+D23+D26+D29)/(4*0.05),0)*0.05</f>
        <v>0.85000000000000009</v>
      </c>
      <c r="C49" s="127"/>
      <c r="F49" s="13" t="s">
        <v>91</v>
      </c>
      <c r="G49" s="84">
        <f>(D20+D23+D26+D29)/4</f>
        <v>0.84889194637856658</v>
      </c>
    </row>
    <row r="50" spans="1:8" ht="15" customHeight="1" x14ac:dyDescent="0.25">
      <c r="A50" s="74" t="s">
        <v>92</v>
      </c>
      <c r="B50" s="142">
        <f>AVERAGE(D23:D33)</f>
        <v>0.89624160166069367</v>
      </c>
      <c r="C50" s="127"/>
    </row>
    <row r="51" spans="1:8" x14ac:dyDescent="0.2">
      <c r="A51" s="56" t="s">
        <v>93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0" t="s">
        <v>94</v>
      </c>
      <c r="G79" s="141"/>
      <c r="H79" s="141"/>
    </row>
  </sheetData>
  <mergeCells count="34"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F79:H79"/>
    <mergeCell ref="B49:C49"/>
    <mergeCell ref="B50:C50"/>
    <mergeCell ref="C43:D43"/>
    <mergeCell ref="C44:D44"/>
    <mergeCell ref="C45:D45"/>
    <mergeCell ref="A43:B43"/>
    <mergeCell ref="A48:D4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95</v>
      </c>
      <c r="B4" s="126"/>
      <c r="C4" s="127"/>
    </row>
    <row r="5" spans="1:3" ht="20.45" customHeight="1" x14ac:dyDescent="0.25">
      <c r="A5" s="18" t="s">
        <v>78</v>
      </c>
      <c r="B5" s="122" t="s">
        <v>96</v>
      </c>
      <c r="C5" s="122" t="s">
        <v>97</v>
      </c>
    </row>
    <row r="6" spans="1:3" x14ac:dyDescent="0.25">
      <c r="A6" s="13">
        <v>100</v>
      </c>
      <c r="B6" s="14">
        <f>'Initial Parameters'!I16</f>
        <v>6.7804596630353782</v>
      </c>
      <c r="C6" s="14">
        <f>'Initial Parameters'!J16</f>
        <v>10.919698088918599</v>
      </c>
    </row>
    <row r="7" spans="1:3" x14ac:dyDescent="0.25">
      <c r="A7" s="13">
        <v>125</v>
      </c>
      <c r="B7" s="14">
        <f>'Initial Parameters'!I17</f>
        <v>6.7867825330310438</v>
      </c>
      <c r="C7" s="14">
        <f>'Initial Parameters'!J17</f>
        <v>12.514283372863282</v>
      </c>
    </row>
    <row r="8" spans="1:3" x14ac:dyDescent="0.25">
      <c r="A8" s="13">
        <v>160</v>
      </c>
      <c r="B8" s="14">
        <f>'Initial Parameters'!I18</f>
        <v>6.5818180444843719</v>
      </c>
      <c r="C8" s="14">
        <f>'Initial Parameters'!J18</f>
        <v>10.80577155411207</v>
      </c>
    </row>
    <row r="9" spans="1:3" x14ac:dyDescent="0.25">
      <c r="A9" s="13">
        <v>200</v>
      </c>
      <c r="B9" s="14">
        <f>'Initial Parameters'!I19</f>
        <v>5.577586852302252</v>
      </c>
      <c r="C9" s="14">
        <f>'Initial Parameters'!J19</f>
        <v>11.615296795193256</v>
      </c>
    </row>
    <row r="10" spans="1:3" x14ac:dyDescent="0.25">
      <c r="A10" s="13">
        <v>250</v>
      </c>
      <c r="B10" s="14">
        <f>'Initial Parameters'!I20</f>
        <v>5.7447210124869068</v>
      </c>
      <c r="C10" s="14">
        <f>'Initial Parameters'!J20</f>
        <v>13.594722636556991</v>
      </c>
    </row>
    <row r="11" spans="1:3" x14ac:dyDescent="0.25">
      <c r="A11" s="13">
        <v>315</v>
      </c>
      <c r="B11" s="14">
        <f>'Initial Parameters'!I21</f>
        <v>5.0710275856901719</v>
      </c>
      <c r="C11" s="14">
        <f>'Initial Parameters'!J21</f>
        <v>13.275926776898135</v>
      </c>
    </row>
    <row r="12" spans="1:3" x14ac:dyDescent="0.25">
      <c r="A12" s="13">
        <v>400</v>
      </c>
      <c r="B12" s="14">
        <f>'Initial Parameters'!I22</f>
        <v>5.3345023920184973</v>
      </c>
      <c r="C12" s="14">
        <f>'Initial Parameters'!J22</f>
        <v>12.952750257218094</v>
      </c>
    </row>
    <row r="13" spans="1:3" x14ac:dyDescent="0.25">
      <c r="A13" s="13">
        <v>500</v>
      </c>
      <c r="B13" s="14">
        <f>'Initial Parameters'!I23</f>
        <v>5.8719723252444664</v>
      </c>
      <c r="C13" s="14">
        <f>'Initial Parameters'!J23</f>
        <v>13.694788230962361</v>
      </c>
    </row>
    <row r="14" spans="1:3" x14ac:dyDescent="0.25">
      <c r="A14" s="13">
        <v>630</v>
      </c>
      <c r="B14" s="14">
        <f>'Initial Parameters'!I24</f>
        <v>6.2547213711672374</v>
      </c>
      <c r="C14" s="14">
        <f>'Initial Parameters'!J24</f>
        <v>14.473733210561965</v>
      </c>
    </row>
    <row r="15" spans="1:3" x14ac:dyDescent="0.25">
      <c r="A15" s="13">
        <v>800</v>
      </c>
      <c r="B15" s="14">
        <f>'Initial Parameters'!I25</f>
        <v>6.400321929340949</v>
      </c>
      <c r="C15" s="14">
        <f>'Initial Parameters'!J25</f>
        <v>15.918809057648167</v>
      </c>
    </row>
    <row r="16" spans="1:3" x14ac:dyDescent="0.25">
      <c r="A16" s="13">
        <v>1000</v>
      </c>
      <c r="B16" s="14">
        <f>'Initial Parameters'!I26</f>
        <v>6.5166406648160526</v>
      </c>
      <c r="C16" s="14">
        <f>'Initial Parameters'!J26</f>
        <v>16.964444560358697</v>
      </c>
    </row>
    <row r="17" spans="1:3" x14ac:dyDescent="0.25">
      <c r="A17" s="13">
        <v>1250</v>
      </c>
      <c r="B17" s="14">
        <f>'Initial Parameters'!I27</f>
        <v>6.6310884436346109</v>
      </c>
      <c r="C17" s="14">
        <f>'Initial Parameters'!J27</f>
        <v>17.320093241175012</v>
      </c>
    </row>
    <row r="18" spans="1:3" x14ac:dyDescent="0.25">
      <c r="A18" s="13">
        <v>1600</v>
      </c>
      <c r="B18" s="14">
        <f>'Initial Parameters'!I28</f>
        <v>6.9589434737220053</v>
      </c>
      <c r="C18" s="14">
        <f>'Initial Parameters'!J28</f>
        <v>17.808161399165378</v>
      </c>
    </row>
    <row r="19" spans="1:3" x14ac:dyDescent="0.25">
      <c r="A19" s="13">
        <v>2000</v>
      </c>
      <c r="B19" s="14">
        <f>'Initial Parameters'!I29</f>
        <v>8.5291829264875574</v>
      </c>
      <c r="C19" s="14">
        <f>'Initial Parameters'!J29</f>
        <v>18.856925667645619</v>
      </c>
    </row>
    <row r="20" spans="1:3" x14ac:dyDescent="0.25">
      <c r="A20" s="13">
        <v>2500</v>
      </c>
      <c r="B20" s="14">
        <f>'Initial Parameters'!I30</f>
        <v>9.3161504194873235</v>
      </c>
      <c r="C20" s="14">
        <f>'Initial Parameters'!J30</f>
        <v>19.458299444201195</v>
      </c>
    </row>
    <row r="21" spans="1:3" x14ac:dyDescent="0.25">
      <c r="A21" s="13">
        <v>3150</v>
      </c>
      <c r="B21" s="14">
        <f>'Initial Parameters'!I31</f>
        <v>11.197149677393753</v>
      </c>
      <c r="C21" s="14">
        <f>'Initial Parameters'!J31</f>
        <v>20.619124241635195</v>
      </c>
    </row>
    <row r="22" spans="1:3" x14ac:dyDescent="0.25">
      <c r="A22" s="50">
        <v>4000</v>
      </c>
      <c r="B22" s="14">
        <f>'Initial Parameters'!I32</f>
        <v>12.64931722196288</v>
      </c>
      <c r="C22" s="14">
        <f>'Initial Parameters'!J32</f>
        <v>21.98182800514374</v>
      </c>
    </row>
    <row r="23" spans="1:3" x14ac:dyDescent="0.25">
      <c r="A23" s="13">
        <v>5000</v>
      </c>
      <c r="B23" s="14">
        <f>'Initial Parameters'!I33</f>
        <v>14.142617431311248</v>
      </c>
      <c r="C23" s="14">
        <f>'Initial Parameters'!J33</f>
        <v>23.195715566317311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98</v>
      </c>
      <c r="B1" s="4"/>
    </row>
    <row r="2" spans="1:22" x14ac:dyDescent="0.25">
      <c r="A2" t="s">
        <v>99</v>
      </c>
    </row>
    <row r="3" spans="1:22" x14ac:dyDescent="0.25">
      <c r="P3" t="s">
        <v>100</v>
      </c>
      <c r="Q3" s="2">
        <f>1-SUM(N5:N19)</f>
        <v>0.85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0.49999999999999978</v>
      </c>
      <c r="H5" s="2"/>
      <c r="I5" s="2">
        <f>IF(B5-'Output for Report'!C$39&gt;0,B5-'Output for Report'!C$39,0)</f>
        <v>9.9999999999999978E-2</v>
      </c>
      <c r="J5" s="2">
        <f>IF(C5-'Output for Report'!D$39&gt;0,C5-'Output for Report'!D$39,0)</f>
        <v>0.25</v>
      </c>
      <c r="K5" s="2">
        <f>IF(D5-'Output for Report'!E$39&gt;0,D5-'Output for Report'!E$39,0)</f>
        <v>4.9999999999999933E-2</v>
      </c>
      <c r="L5" s="2">
        <f>IF(E5-'Output for Report'!F$39&gt;0,E5-'Output for Report'!F$39,0)</f>
        <v>4.9999999999999933E-2</v>
      </c>
      <c r="M5" s="2">
        <f>IF(F5-'Output for Report'!G$39&gt;0,F5-'Output for Report'!G$39,0)</f>
        <v>4.9999999999999933E-2</v>
      </c>
      <c r="N5" s="2">
        <f t="shared" ref="N5:N19" si="0">IF(SUM(I5:M5)&gt;0.1,0.05,0)</f>
        <v>0.05</v>
      </c>
      <c r="P5" t="s">
        <v>101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0.24999999999999956</v>
      </c>
      <c r="H6" s="2"/>
      <c r="I6" s="2">
        <f>IF(B6-'Output for Report'!C$39&gt;0,B6-'Output for Report'!C$39,0)</f>
        <v>4.9999999999999933E-2</v>
      </c>
      <c r="J6" s="2">
        <f>IF(C6-'Output for Report'!D$39&gt;0,C6-'Output for Report'!D$39,0)</f>
        <v>0.19999999999999996</v>
      </c>
      <c r="K6" s="2">
        <f>IF(D6-'Output for Report'!E$39&gt;0,D6-'Output for Report'!E$39,0)</f>
        <v>0</v>
      </c>
      <c r="L6" s="2">
        <f>IF(E6-'Output for Report'!F$39&gt;0,E6-'Output for Report'!F$39,0)</f>
        <v>0</v>
      </c>
      <c r="M6" s="2">
        <f>IF(F6-'Output for Report'!G$39&gt;0,F6-'Output for Report'!G$39,0)</f>
        <v>0</v>
      </c>
      <c r="N6" s="2">
        <f t="shared" si="0"/>
        <v>0.05</v>
      </c>
      <c r="P6" t="s">
        <v>102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0</v>
      </c>
      <c r="H7" s="2"/>
      <c r="I7" s="2">
        <f>IF(B7-'Output for Report'!C$39&gt;0,B7-'Output for Report'!C$39,0)</f>
        <v>0</v>
      </c>
      <c r="J7" s="2">
        <f>IF(C7-'Output for Report'!D$39&gt;0,C7-'Output for Report'!D$39,0)</f>
        <v>0.14999999999999991</v>
      </c>
      <c r="K7" s="2">
        <f>IF(D7-'Output for Report'!E$39&gt;0,D7-'Output for Report'!E$39,0)</f>
        <v>0</v>
      </c>
      <c r="L7" s="2">
        <f>IF(E7-'Output for Report'!F$39&gt;0,E7-'Output for Report'!F$39,0)</f>
        <v>0</v>
      </c>
      <c r="M7" s="2">
        <f>IF(F7-'Output for Report'!G$39&gt;0,F7-'Output for Report'!G$39,0)</f>
        <v>0</v>
      </c>
      <c r="N7" s="2">
        <f t="shared" si="0"/>
        <v>0.05</v>
      </c>
      <c r="P7" t="s">
        <v>103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-0.25000000000000089</v>
      </c>
      <c r="H8" s="2"/>
      <c r="I8" s="2">
        <f>IF(B8-'Output for Report'!C$39&gt;0,B8-'Output for Report'!C$39,0)</f>
        <v>0</v>
      </c>
      <c r="J8" s="2">
        <f>IF(C8-'Output for Report'!D$39&gt;0,C8-'Output for Report'!D$39,0)</f>
        <v>9.9999999999999867E-2</v>
      </c>
      <c r="K8" s="2">
        <f>IF(D8-'Output for Report'!E$39&gt;0,D8-'Output for Report'!E$39,0)</f>
        <v>0</v>
      </c>
      <c r="L8" s="2">
        <f>IF(E8-'Output for Report'!F$39&gt;0,E8-'Output for Report'!F$39,0)</f>
        <v>0</v>
      </c>
      <c r="M8" s="2">
        <f>IF(F8-'Output for Report'!G$39&gt;0,F8-'Output for Report'!G$39,0)</f>
        <v>0</v>
      </c>
      <c r="N8" s="2">
        <f t="shared" si="0"/>
        <v>0</v>
      </c>
      <c r="P8" t="s">
        <v>104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-0.50000000000000111</v>
      </c>
      <c r="H9" s="2"/>
      <c r="I9" s="2">
        <f>IF(B9-'Output for Report'!C$39&gt;0,B9-'Output for Report'!C$39,0)</f>
        <v>0</v>
      </c>
      <c r="J9" s="2">
        <f>IF(C9-'Output for Report'!D$39&gt;0,C9-'Output for Report'!D$39,0)</f>
        <v>4.9999999999999822E-2</v>
      </c>
      <c r="K9" s="2">
        <f>IF(D9-'Output for Report'!E$39&gt;0,D9-'Output for Report'!E$39,0)</f>
        <v>0</v>
      </c>
      <c r="L9" s="2">
        <f>IF(E9-'Output for Report'!F$39&gt;0,E9-'Output for Report'!F$39,0)</f>
        <v>0</v>
      </c>
      <c r="M9" s="2">
        <f>IF(F9-'Output for Report'!G$39&gt;0,F9-'Output for Report'!G$39,0)</f>
        <v>0</v>
      </c>
      <c r="N9" s="2">
        <f t="shared" si="0"/>
        <v>0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-0.75000000000000133</v>
      </c>
      <c r="H10" s="2"/>
      <c r="I10" s="2">
        <f>IF(B10-'Output for Report'!C$39&gt;0,B10-'Output for Report'!C$39,0)</f>
        <v>0</v>
      </c>
      <c r="J10" s="2">
        <f>IF(C10-'Output for Report'!D$39&gt;0,C10-'Output for Report'!D$39,0)</f>
        <v>0</v>
      </c>
      <c r="K10" s="2">
        <f>IF(D10-'Output for Report'!E$39&gt;0,D10-'Output for Report'!E$39,0)</f>
        <v>0</v>
      </c>
      <c r="L10" s="2">
        <f>IF(E10-'Output for Report'!F$39&gt;0,E10-'Output for Report'!F$39,0)</f>
        <v>0</v>
      </c>
      <c r="M10" s="2">
        <f>IF(F10-'Output for Report'!G$39&gt;0,F10-'Output for Report'!G$39,0)</f>
        <v>0</v>
      </c>
      <c r="N10" s="2">
        <f t="shared" si="0"/>
        <v>0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-1.0000000000000016</v>
      </c>
      <c r="H11" s="2"/>
      <c r="I11" s="2">
        <f>IF(B11-'Output for Report'!C$39&gt;0,B11-'Output for Report'!C$39,0)</f>
        <v>0</v>
      </c>
      <c r="J11" s="2">
        <f>IF(C11-'Output for Report'!D$39&gt;0,C11-'Output for Report'!D$39,0)</f>
        <v>0</v>
      </c>
      <c r="K11" s="2">
        <f>IF(D11-'Output for Report'!E$39&gt;0,D11-'Output for Report'!E$39,0)</f>
        <v>0</v>
      </c>
      <c r="L11" s="2">
        <f>IF(E11-'Output for Report'!F$39&gt;0,E11-'Output for Report'!F$39,0)</f>
        <v>0</v>
      </c>
      <c r="M11" s="2">
        <f>IF(F11-'Output for Report'!G$39&gt;0,F11-'Output for Report'!G$39,0)</f>
        <v>0</v>
      </c>
      <c r="N11" s="2">
        <f t="shared" si="0"/>
        <v>0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-1.2500000000000018</v>
      </c>
      <c r="H12" s="2"/>
      <c r="I12" s="2">
        <f>IF(B12-'Output for Report'!C$39&gt;0,B12-'Output for Report'!C$39,0)</f>
        <v>0</v>
      </c>
      <c r="J12" s="2">
        <f>IF(C12-'Output for Report'!D$39&gt;0,C12-'Output for Report'!D$39,0)</f>
        <v>0</v>
      </c>
      <c r="K12" s="2">
        <f>IF(D12-'Output for Report'!E$39&gt;0,D12-'Output for Report'!E$39,0)</f>
        <v>0</v>
      </c>
      <c r="L12" s="2">
        <f>IF(E12-'Output for Report'!F$39&gt;0,E12-'Output for Report'!F$39,0)</f>
        <v>0</v>
      </c>
      <c r="M12" s="2">
        <f>IF(F12-'Output for Report'!G$39&gt;0,F12-'Output for Report'!G$39,0)</f>
        <v>0</v>
      </c>
      <c r="N12" s="2">
        <f t="shared" si="0"/>
        <v>0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-1.5000000000000016</v>
      </c>
      <c r="H13" s="2"/>
      <c r="I13" s="2">
        <f>IF(B13-'Output for Report'!C$39&gt;0,B13-'Output for Report'!C$39,0)</f>
        <v>0</v>
      </c>
      <c r="J13" s="2">
        <f>IF(C13-'Output for Report'!D$39&gt;0,C13-'Output for Report'!D$39,0)</f>
        <v>0</v>
      </c>
      <c r="K13" s="2">
        <f>IF(D13-'Output for Report'!E$39&gt;0,D13-'Output for Report'!E$39,0)</f>
        <v>0</v>
      </c>
      <c r="L13" s="2">
        <f>IF(E13-'Output for Report'!F$39&gt;0,E13-'Output for Report'!F$39,0)</f>
        <v>0</v>
      </c>
      <c r="M13" s="2">
        <f>IF(F13-'Output for Report'!G$39&gt;0,F13-'Output for Report'!G$39,0)</f>
        <v>0</v>
      </c>
      <c r="N13" s="2">
        <f t="shared" si="0"/>
        <v>0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-1.7500000000000018</v>
      </c>
      <c r="H14" s="2"/>
      <c r="I14" s="2">
        <f>IF(B14-'Output for Report'!C$39&gt;0,B14-'Output for Report'!C$39,0)</f>
        <v>0</v>
      </c>
      <c r="J14" s="2">
        <f>IF(C14-'Output for Report'!D$39&gt;0,C14-'Output for Report'!D$39,0)</f>
        <v>0</v>
      </c>
      <c r="K14" s="2">
        <f>IF(D14-'Output for Report'!E$39&gt;0,D14-'Output for Report'!E$39,0)</f>
        <v>0</v>
      </c>
      <c r="L14" s="2">
        <f>IF(E14-'Output for Report'!F$39&gt;0,E14-'Output for Report'!F$39,0)</f>
        <v>0</v>
      </c>
      <c r="M14" s="2">
        <f>IF(F14-'Output for Report'!G$39&gt;0,F14-'Output for Report'!G$39,0)</f>
        <v>0</v>
      </c>
      <c r="N14" s="2">
        <f t="shared" si="0"/>
        <v>0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-2.0000000000000018</v>
      </c>
      <c r="H15" s="2"/>
      <c r="I15" s="2">
        <f>IF(B15-'Output for Report'!C$39&gt;0,B15-'Output for Report'!C$39,0)</f>
        <v>0</v>
      </c>
      <c r="J15" s="2">
        <f>IF(C15-'Output for Report'!D$39&gt;0,C15-'Output for Report'!D$39,0)</f>
        <v>0</v>
      </c>
      <c r="K15" s="2">
        <f>IF(D15-'Output for Report'!E$39&gt;0,D15-'Output for Report'!E$39,0)</f>
        <v>0</v>
      </c>
      <c r="L15" s="2">
        <f>IF(E15-'Output for Report'!F$39&gt;0,E15-'Output for Report'!F$39,0)</f>
        <v>0</v>
      </c>
      <c r="M15" s="2">
        <f>IF(F15-'Output for Report'!G$39&gt;0,F15-'Output for Report'!G$39,0)</f>
        <v>0</v>
      </c>
      <c r="N15" s="2">
        <f t="shared" si="0"/>
        <v>0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-2.2500000000000018</v>
      </c>
      <c r="H16" s="2"/>
      <c r="I16" s="2">
        <f>IF(B16-'Output for Report'!C$39&gt;0,B16-'Output for Report'!C$39,0)</f>
        <v>0</v>
      </c>
      <c r="J16" s="2">
        <f>IF(C16-'Output for Report'!D$39&gt;0,C16-'Output for Report'!D$39,0)</f>
        <v>0</v>
      </c>
      <c r="K16" s="2">
        <f>IF(D16-'Output for Report'!E$39&gt;0,D16-'Output for Report'!E$39,0)</f>
        <v>0</v>
      </c>
      <c r="L16" s="2">
        <f>IF(E16-'Output for Report'!F$39&gt;0,E16-'Output for Report'!F$39,0)</f>
        <v>0</v>
      </c>
      <c r="M16" s="2">
        <f>IF(F16-'Output for Report'!G$39&gt;0,F16-'Output for Report'!G$39,0)</f>
        <v>0</v>
      </c>
      <c r="N16" s="2">
        <f t="shared" si="0"/>
        <v>0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-2.5000000000000018</v>
      </c>
      <c r="H17" s="2"/>
      <c r="I17" s="2">
        <f>IF(B17-'Output for Report'!C$39&gt;0,B17-'Output for Report'!C$39,0)</f>
        <v>0</v>
      </c>
      <c r="J17" s="2">
        <f>IF(C17-'Output for Report'!D$39&gt;0,C17-'Output for Report'!D$39,0)</f>
        <v>0</v>
      </c>
      <c r="K17" s="2">
        <f>IF(D17-'Output for Report'!E$39&gt;0,D17-'Output for Report'!E$39,0)</f>
        <v>0</v>
      </c>
      <c r="L17" s="2">
        <f>IF(E17-'Output for Report'!F$39&gt;0,E17-'Output for Report'!F$39,0)</f>
        <v>0</v>
      </c>
      <c r="M17" s="2">
        <f>IF(F17-'Output for Report'!G$39&gt;0,F17-'Output for Report'!G$39,0)</f>
        <v>0</v>
      </c>
      <c r="N17" s="2">
        <f t="shared" si="0"/>
        <v>0</v>
      </c>
      <c r="Q17">
        <f t="shared" si="12"/>
        <v>0.84999999999999987</v>
      </c>
      <c r="R17">
        <f t="shared" si="7"/>
        <v>0.64999999999999991</v>
      </c>
      <c r="S17">
        <f t="shared" si="8"/>
        <v>0.84999999999999987</v>
      </c>
      <c r="T17">
        <f t="shared" si="9"/>
        <v>0.84999999999999987</v>
      </c>
      <c r="U17">
        <f t="shared" si="10"/>
        <v>0.84999999999999987</v>
      </c>
      <c r="V17">
        <f t="shared" si="11"/>
        <v>0.74999999999999989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-2.7500000000000018</v>
      </c>
      <c r="H18" s="2"/>
      <c r="I18" s="2">
        <f>IF(B18-'Output for Report'!C$39&gt;0,B18-'Output for Report'!C$39,0)</f>
        <v>0</v>
      </c>
      <c r="J18" s="2">
        <f>IF(C18-'Output for Report'!D$39&gt;0,C18-'Output for Report'!D$39,0)</f>
        <v>0</v>
      </c>
      <c r="K18" s="2">
        <f>IF(D18-'Output for Report'!E$39&gt;0,D18-'Output for Report'!E$39,0)</f>
        <v>0</v>
      </c>
      <c r="L18" s="2">
        <f>IF(E18-'Output for Report'!F$39&gt;0,E18-'Output for Report'!F$39,0)</f>
        <v>0</v>
      </c>
      <c r="M18" s="2">
        <f>IF(F18-'Output for Report'!G$39&gt;0,F18-'Output for Report'!G$39,0)</f>
        <v>0</v>
      </c>
      <c r="N18" s="2">
        <f t="shared" si="0"/>
        <v>0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-3.0000000000000018</v>
      </c>
      <c r="H19" s="2"/>
      <c r="I19" s="2">
        <f>IF(B19-'Output for Report'!C$39&gt;0,B19-'Output for Report'!C$39,0)</f>
        <v>0</v>
      </c>
      <c r="J19" s="2">
        <f>IF(C19-'Output for Report'!D$39&gt;0,C19-'Output for Report'!D$39,0)</f>
        <v>0</v>
      </c>
      <c r="K19" s="2">
        <f>IF(D19-'Output for Report'!E$39&gt;0,D19-'Output for Report'!E$39,0)</f>
        <v>0</v>
      </c>
      <c r="L19" s="2">
        <f>IF(E19-'Output for Report'!F$39&gt;0,E19-'Output for Report'!F$39,0)</f>
        <v>0</v>
      </c>
      <c r="M19" s="2">
        <f>IF(F19-'Output for Report'!G$39&gt;0,F19-'Output for Report'!G$39,0)</f>
        <v>0</v>
      </c>
      <c r="N19" s="2">
        <f t="shared" si="0"/>
        <v>0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0.64999999999999991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0.71666666666666656</v>
      </c>
    </row>
    <row r="30" spans="1:22" x14ac:dyDescent="0.25">
      <c r="N30">
        <v>400</v>
      </c>
      <c r="O30">
        <f>(O31-O28)/3+O29</f>
        <v>0.78333333333333321</v>
      </c>
    </row>
    <row r="31" spans="1:22" x14ac:dyDescent="0.25">
      <c r="N31">
        <v>500</v>
      </c>
      <c r="O31">
        <f>SUM(S14:S28)</f>
        <v>0.84999999999999987</v>
      </c>
    </row>
    <row r="32" spans="1:22" x14ac:dyDescent="0.25">
      <c r="N32">
        <v>630</v>
      </c>
      <c r="O32">
        <f>O31</f>
        <v>0.84999999999999987</v>
      </c>
    </row>
    <row r="33" spans="14:15" x14ac:dyDescent="0.25">
      <c r="N33">
        <v>800</v>
      </c>
      <c r="O33">
        <f>O32</f>
        <v>0.84999999999999987</v>
      </c>
    </row>
    <row r="34" spans="14:15" x14ac:dyDescent="0.25">
      <c r="N34">
        <v>1000</v>
      </c>
      <c r="O34">
        <f>SUM(T14:T28)</f>
        <v>0.84999999999999987</v>
      </c>
    </row>
    <row r="35" spans="14:15" x14ac:dyDescent="0.25">
      <c r="N35">
        <v>1250</v>
      </c>
      <c r="O35">
        <f>O34</f>
        <v>0.84999999999999987</v>
      </c>
    </row>
    <row r="36" spans="14:15" x14ac:dyDescent="0.25">
      <c r="N36">
        <v>1600</v>
      </c>
      <c r="O36">
        <f>O35</f>
        <v>0.84999999999999987</v>
      </c>
    </row>
    <row r="37" spans="14:15" x14ac:dyDescent="0.25">
      <c r="N37">
        <v>2000</v>
      </c>
      <c r="O37">
        <f>SUM(U14:U28)</f>
        <v>0.84999999999999987</v>
      </c>
    </row>
    <row r="38" spans="14:15" x14ac:dyDescent="0.25">
      <c r="N38">
        <v>2500</v>
      </c>
      <c r="O38">
        <f>O37-($O$37-$O$40)/3</f>
        <v>0.81666666666666654</v>
      </c>
    </row>
    <row r="39" spans="14:15" x14ac:dyDescent="0.25">
      <c r="N39">
        <v>3150</v>
      </c>
      <c r="O39">
        <f>O38-($O$37-$O$40)/3</f>
        <v>0.78333333333333321</v>
      </c>
    </row>
    <row r="40" spans="14:15" x14ac:dyDescent="0.25">
      <c r="N40">
        <v>4000</v>
      </c>
      <c r="O40">
        <f>SUM(V14:V28)</f>
        <v>0.74999999999999989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Lewis White</cp:lastModifiedBy>
  <cp:lastPrinted>2020-04-15T03:07:29Z</cp:lastPrinted>
  <dcterms:created xsi:type="dcterms:W3CDTF">2010-07-19T03:02:48Z</dcterms:created>
  <dcterms:modified xsi:type="dcterms:W3CDTF">2021-04-15T05:54:22Z</dcterms:modified>
</cp:coreProperties>
</file>