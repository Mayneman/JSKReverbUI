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wh34\PycharmProjects\ReverbUI\JSKReverbUI\ReportFiles\"/>
    </mc:Choice>
  </mc:AlternateContent>
  <bookViews>
    <workbookView xWindow="270" yWindow="720" windowWidth="11025" windowHeight="12660" firstSheet="2" activeTab="3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8"/>
  <calcPr calcId="162913"/>
</workbook>
</file>

<file path=xl/calcChain.xml><?xml version="1.0" encoding="utf-8"?>
<calcChain xmlns="http://schemas.openxmlformats.org/spreadsheetml/2006/main">
  <c r="Q15" i="6" l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C8" i="6"/>
  <c r="Q7" i="6"/>
  <c r="E7" i="6"/>
  <c r="C7" i="6"/>
  <c r="B7" i="6"/>
  <c r="F6" i="6"/>
  <c r="F7" i="6" s="1"/>
  <c r="E6" i="6"/>
  <c r="D6" i="6"/>
  <c r="C6" i="6"/>
  <c r="B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C14" i="4"/>
  <c r="C10" i="4"/>
  <c r="K33" i="3"/>
  <c r="K32" i="3"/>
  <c r="K31" i="3"/>
  <c r="H31" i="3"/>
  <c r="C31" i="4" s="1"/>
  <c r="K30" i="3"/>
  <c r="K29" i="3"/>
  <c r="G29" i="3"/>
  <c r="B29" i="4" s="1"/>
  <c r="K28" i="3"/>
  <c r="K27" i="3"/>
  <c r="K26" i="3"/>
  <c r="K25" i="3"/>
  <c r="K24" i="3"/>
  <c r="K23" i="3"/>
  <c r="K22" i="3"/>
  <c r="K21" i="3"/>
  <c r="K20" i="3"/>
  <c r="K19" i="3"/>
  <c r="H19" i="3"/>
  <c r="C19" i="4" s="1"/>
  <c r="K18" i="3"/>
  <c r="K17" i="3"/>
  <c r="G17" i="3"/>
  <c r="B17" i="4" s="1"/>
  <c r="K16" i="3"/>
  <c r="H16" i="3"/>
  <c r="C16" i="4" s="1"/>
  <c r="D9" i="3"/>
  <c r="E4" i="3"/>
  <c r="D4" i="3"/>
  <c r="D10" i="3" s="1"/>
  <c r="D12" i="3" s="1"/>
  <c r="C4" i="3"/>
  <c r="E3" i="3"/>
  <c r="D3" i="3"/>
  <c r="I10" i="4" s="1"/>
  <c r="C3" i="3"/>
  <c r="I9" i="4" s="1"/>
  <c r="B27" i="2"/>
  <c r="H33" i="3" s="1"/>
  <c r="C33" i="4" s="1"/>
  <c r="B26" i="2"/>
  <c r="H32" i="3" s="1"/>
  <c r="C32" i="4" s="1"/>
  <c r="B25" i="2"/>
  <c r="B24" i="2"/>
  <c r="H30" i="3" s="1"/>
  <c r="C30" i="4" s="1"/>
  <c r="B23" i="2"/>
  <c r="H29" i="3" s="1"/>
  <c r="C29" i="4" s="1"/>
  <c r="B22" i="2"/>
  <c r="H28" i="3" s="1"/>
  <c r="C28" i="4" s="1"/>
  <c r="B21" i="2"/>
  <c r="H27" i="3" s="1"/>
  <c r="C27" i="4" s="1"/>
  <c r="B20" i="2"/>
  <c r="H26" i="3" s="1"/>
  <c r="C26" i="4" s="1"/>
  <c r="B19" i="2"/>
  <c r="H25" i="3" s="1"/>
  <c r="C25" i="4" s="1"/>
  <c r="B18" i="2"/>
  <c r="H24" i="3" s="1"/>
  <c r="C24" i="4" s="1"/>
  <c r="B17" i="2"/>
  <c r="H23" i="3" s="1"/>
  <c r="C23" i="4" s="1"/>
  <c r="B16" i="2"/>
  <c r="H22" i="3" s="1"/>
  <c r="C22" i="4" s="1"/>
  <c r="B15" i="2"/>
  <c r="H21" i="3" s="1"/>
  <c r="C21" i="4" s="1"/>
  <c r="B14" i="2"/>
  <c r="H20" i="3" s="1"/>
  <c r="C20" i="4" s="1"/>
  <c r="B13" i="2"/>
  <c r="B12" i="2"/>
  <c r="H18" i="3" s="1"/>
  <c r="C18" i="4" s="1"/>
  <c r="B11" i="2"/>
  <c r="H17" i="3" s="1"/>
  <c r="C17" i="4" s="1"/>
  <c r="B10" i="2"/>
  <c r="L37" i="1"/>
  <c r="G33" i="3" s="1"/>
  <c r="B33" i="4" s="1"/>
  <c r="L36" i="1"/>
  <c r="G32" i="3" s="1"/>
  <c r="B32" i="4" s="1"/>
  <c r="L35" i="1"/>
  <c r="G31" i="3" s="1"/>
  <c r="B31" i="4" s="1"/>
  <c r="L34" i="1"/>
  <c r="G30" i="3" s="1"/>
  <c r="B30" i="4" s="1"/>
  <c r="L33" i="1"/>
  <c r="L32" i="1"/>
  <c r="G28" i="3" s="1"/>
  <c r="B28" i="4" s="1"/>
  <c r="L31" i="1"/>
  <c r="G27" i="3" s="1"/>
  <c r="B27" i="4" s="1"/>
  <c r="L30" i="1"/>
  <c r="G26" i="3" s="1"/>
  <c r="B26" i="4" s="1"/>
  <c r="L29" i="1"/>
  <c r="G25" i="3" s="1"/>
  <c r="B25" i="4" s="1"/>
  <c r="L28" i="1"/>
  <c r="G24" i="3" s="1"/>
  <c r="B24" i="4" s="1"/>
  <c r="L27" i="1"/>
  <c r="G23" i="3" s="1"/>
  <c r="B23" i="4" s="1"/>
  <c r="L26" i="1"/>
  <c r="G22" i="3" s="1"/>
  <c r="B22" i="4" s="1"/>
  <c r="L25" i="1"/>
  <c r="G21" i="3" s="1"/>
  <c r="B21" i="4" s="1"/>
  <c r="L24" i="1"/>
  <c r="G20" i="3" s="1"/>
  <c r="B20" i="4" s="1"/>
  <c r="L23" i="1"/>
  <c r="G19" i="3" s="1"/>
  <c r="B19" i="4" s="1"/>
  <c r="L22" i="1"/>
  <c r="G18" i="3" s="1"/>
  <c r="B18" i="4" s="1"/>
  <c r="L21" i="1"/>
  <c r="L20" i="1"/>
  <c r="G16" i="3" s="1"/>
  <c r="B16" i="4" s="1"/>
  <c r="C10" i="3" l="1"/>
  <c r="C11" i="3" s="1"/>
  <c r="E8" i="6"/>
  <c r="C9" i="6"/>
  <c r="I11" i="4"/>
  <c r="D7" i="6"/>
  <c r="F8" i="6"/>
  <c r="C9" i="3"/>
  <c r="B8" i="6"/>
  <c r="D11" i="3"/>
  <c r="D18" i="3" s="1"/>
  <c r="F18" i="3" s="1"/>
  <c r="J18" i="3" s="1"/>
  <c r="C8" i="5" s="1"/>
  <c r="D24" i="3" l="1"/>
  <c r="F24" i="3" s="1"/>
  <c r="J24" i="3" s="1"/>
  <c r="C14" i="5" s="1"/>
  <c r="E9" i="6"/>
  <c r="D31" i="3"/>
  <c r="F31" i="3" s="1"/>
  <c r="J31" i="3" s="1"/>
  <c r="C21" i="5" s="1"/>
  <c r="D27" i="3"/>
  <c r="F27" i="3" s="1"/>
  <c r="J27" i="3" s="1"/>
  <c r="C17" i="5" s="1"/>
  <c r="D19" i="3"/>
  <c r="F19" i="3" s="1"/>
  <c r="J19" i="3" s="1"/>
  <c r="C9" i="5" s="1"/>
  <c r="C25" i="3"/>
  <c r="E25" i="3" s="1"/>
  <c r="I25" i="3" s="1"/>
  <c r="D25" i="3"/>
  <c r="F25" i="3" s="1"/>
  <c r="J25" i="3" s="1"/>
  <c r="C15" i="5" s="1"/>
  <c r="D21" i="3"/>
  <c r="F21" i="3" s="1"/>
  <c r="J21" i="3" s="1"/>
  <c r="C11" i="5" s="1"/>
  <c r="B9" i="6"/>
  <c r="D33" i="3"/>
  <c r="F33" i="3" s="1"/>
  <c r="J33" i="3" s="1"/>
  <c r="C23" i="5" s="1"/>
  <c r="D32" i="3"/>
  <c r="F32" i="3" s="1"/>
  <c r="J32" i="3" s="1"/>
  <c r="C22" i="5" s="1"/>
  <c r="D22" i="3"/>
  <c r="F22" i="3" s="1"/>
  <c r="J22" i="3" s="1"/>
  <c r="C12" i="5" s="1"/>
  <c r="C10" i="6"/>
  <c r="D28" i="3"/>
  <c r="F28" i="3" s="1"/>
  <c r="J28" i="3" s="1"/>
  <c r="C18" i="5" s="1"/>
  <c r="C32" i="3"/>
  <c r="E32" i="3" s="1"/>
  <c r="I32" i="3" s="1"/>
  <c r="D16" i="3"/>
  <c r="F16" i="3" s="1"/>
  <c r="J16" i="3" s="1"/>
  <c r="C6" i="5" s="1"/>
  <c r="C29" i="3"/>
  <c r="E29" i="3" s="1"/>
  <c r="I29" i="3" s="1"/>
  <c r="D30" i="3"/>
  <c r="F30" i="3" s="1"/>
  <c r="J30" i="3" s="1"/>
  <c r="C20" i="5" s="1"/>
  <c r="C17" i="3"/>
  <c r="E17" i="3" s="1"/>
  <c r="I17" i="3" s="1"/>
  <c r="C22" i="3"/>
  <c r="E22" i="3" s="1"/>
  <c r="I22" i="3" s="1"/>
  <c r="C23" i="3"/>
  <c r="E23" i="3" s="1"/>
  <c r="I23" i="3" s="1"/>
  <c r="C12" i="3"/>
  <c r="C24" i="3" s="1"/>
  <c r="E24" i="3" s="1"/>
  <c r="I24" i="3" s="1"/>
  <c r="D26" i="3"/>
  <c r="F26" i="3" s="1"/>
  <c r="J26" i="3" s="1"/>
  <c r="C16" i="5" s="1"/>
  <c r="D20" i="3"/>
  <c r="F20" i="3" s="1"/>
  <c r="J20" i="3" s="1"/>
  <c r="C10" i="5" s="1"/>
  <c r="D23" i="3"/>
  <c r="F23" i="3" s="1"/>
  <c r="J23" i="3" s="1"/>
  <c r="C13" i="5" s="1"/>
  <c r="D29" i="3"/>
  <c r="F29" i="3" s="1"/>
  <c r="J29" i="3" s="1"/>
  <c r="C19" i="5" s="1"/>
  <c r="D17" i="3"/>
  <c r="F17" i="3" s="1"/>
  <c r="J17" i="3" s="1"/>
  <c r="C7" i="5" s="1"/>
  <c r="F9" i="6"/>
  <c r="D8" i="6"/>
  <c r="B7" i="5" l="1"/>
  <c r="L17" i="3"/>
  <c r="M21" i="1" s="1"/>
  <c r="B14" i="5"/>
  <c r="L24" i="3"/>
  <c r="M28" i="1" s="1"/>
  <c r="B12" i="5"/>
  <c r="D22" i="4" s="1"/>
  <c r="L22" i="3"/>
  <c r="M26" i="1" s="1"/>
  <c r="B19" i="5"/>
  <c r="L29" i="3"/>
  <c r="M33" i="1" s="1"/>
  <c r="B13" i="5"/>
  <c r="D23" i="4" s="1"/>
  <c r="L23" i="3"/>
  <c r="M27" i="1" s="1"/>
  <c r="B15" i="5"/>
  <c r="D25" i="4" s="1"/>
  <c r="L25" i="3"/>
  <c r="M29" i="1" s="1"/>
  <c r="B22" i="5"/>
  <c r="L32" i="3"/>
  <c r="M36" i="1" s="1"/>
  <c r="D29" i="4"/>
  <c r="C11" i="6"/>
  <c r="C28" i="3"/>
  <c r="E28" i="3" s="1"/>
  <c r="I28" i="3" s="1"/>
  <c r="C20" i="3"/>
  <c r="E20" i="3" s="1"/>
  <c r="I20" i="3" s="1"/>
  <c r="C21" i="3"/>
  <c r="E21" i="3" s="1"/>
  <c r="I21" i="3" s="1"/>
  <c r="D32" i="4"/>
  <c r="C27" i="3"/>
  <c r="E27" i="3" s="1"/>
  <c r="I27" i="3" s="1"/>
  <c r="C31" i="3"/>
  <c r="E31" i="3" s="1"/>
  <c r="I31" i="3" s="1"/>
  <c r="C33" i="3"/>
  <c r="E33" i="3" s="1"/>
  <c r="I33" i="3" s="1"/>
  <c r="C18" i="3"/>
  <c r="E18" i="3" s="1"/>
  <c r="I18" i="3" s="1"/>
  <c r="C26" i="3"/>
  <c r="E26" i="3" s="1"/>
  <c r="I26" i="3" s="1"/>
  <c r="C30" i="3"/>
  <c r="E30" i="3" s="1"/>
  <c r="I30" i="3" s="1"/>
  <c r="E10" i="6"/>
  <c r="D9" i="6"/>
  <c r="B10" i="6"/>
  <c r="C16" i="3"/>
  <c r="E16" i="3" s="1"/>
  <c r="I16" i="3" s="1"/>
  <c r="C19" i="3"/>
  <c r="E19" i="3" s="1"/>
  <c r="I19" i="3" s="1"/>
  <c r="F10" i="6"/>
  <c r="D24" i="4"/>
  <c r="D17" i="4"/>
  <c r="D39" i="4" l="1"/>
  <c r="J11" i="6" s="1"/>
  <c r="B18" i="5"/>
  <c r="D28" i="4" s="1"/>
  <c r="L28" i="3"/>
  <c r="M32" i="1" s="1"/>
  <c r="B21" i="5"/>
  <c r="D31" i="4" s="1"/>
  <c r="L31" i="3"/>
  <c r="M35" i="1" s="1"/>
  <c r="B23" i="5"/>
  <c r="D33" i="4" s="1"/>
  <c r="L33" i="3"/>
  <c r="M37" i="1" s="1"/>
  <c r="B6" i="5"/>
  <c r="D16" i="4" s="1"/>
  <c r="B39" i="4" s="1"/>
  <c r="L16" i="3"/>
  <c r="B17" i="5"/>
  <c r="D27" i="4" s="1"/>
  <c r="L27" i="3"/>
  <c r="M31" i="1" s="1"/>
  <c r="B11" i="6"/>
  <c r="B8" i="5"/>
  <c r="D18" i="4" s="1"/>
  <c r="L18" i="3"/>
  <c r="M22" i="1" s="1"/>
  <c r="D10" i="6"/>
  <c r="C12" i="6"/>
  <c r="B11" i="5"/>
  <c r="D21" i="4" s="1"/>
  <c r="L21" i="3"/>
  <c r="M25" i="1" s="1"/>
  <c r="F11" i="6"/>
  <c r="E11" i="6"/>
  <c r="B16" i="5"/>
  <c r="D26" i="4" s="1"/>
  <c r="B50" i="4" s="1"/>
  <c r="L26" i="3"/>
  <c r="M30" i="1" s="1"/>
  <c r="B9" i="5"/>
  <c r="D19" i="4" s="1"/>
  <c r="L19" i="3"/>
  <c r="M23" i="1" s="1"/>
  <c r="B20" i="5"/>
  <c r="D30" i="4" s="1"/>
  <c r="L30" i="3"/>
  <c r="M34" i="1" s="1"/>
  <c r="B10" i="5"/>
  <c r="D20" i="4" s="1"/>
  <c r="L20" i="3"/>
  <c r="M24" i="1" s="1"/>
  <c r="L34" i="3" l="1"/>
  <c r="M20" i="1"/>
  <c r="G49" i="4"/>
  <c r="B49" i="4"/>
  <c r="J12" i="6"/>
  <c r="C13" i="6"/>
  <c r="D11" i="6"/>
  <c r="G39" i="4"/>
  <c r="M11" i="6" s="1"/>
  <c r="E12" i="6"/>
  <c r="F39" i="4"/>
  <c r="J6" i="6"/>
  <c r="J5" i="6"/>
  <c r="J8" i="6"/>
  <c r="J7" i="6"/>
  <c r="J9" i="6"/>
  <c r="J10" i="6"/>
  <c r="B12" i="6"/>
  <c r="E39" i="4"/>
  <c r="C39" i="4"/>
  <c r="F12" i="6"/>
  <c r="G5" i="6" l="1"/>
  <c r="G6" i="6"/>
  <c r="I5" i="6"/>
  <c r="I6" i="6"/>
  <c r="I7" i="6"/>
  <c r="G7" i="6"/>
  <c r="G8" i="6"/>
  <c r="I8" i="6"/>
  <c r="N8" i="6" s="1"/>
  <c r="G9" i="6"/>
  <c r="I9" i="6"/>
  <c r="N9" i="6" s="1"/>
  <c r="I10" i="6"/>
  <c r="N10" i="6" s="1"/>
  <c r="G10" i="6"/>
  <c r="K5" i="6"/>
  <c r="K6" i="6"/>
  <c r="K7" i="6"/>
  <c r="K8" i="6"/>
  <c r="K9" i="6"/>
  <c r="L12" i="6"/>
  <c r="E13" i="6"/>
  <c r="G11" i="6"/>
  <c r="I11" i="6"/>
  <c r="N11" i="6" s="1"/>
  <c r="M5" i="6"/>
  <c r="M7" i="6"/>
  <c r="M6" i="6"/>
  <c r="M8" i="6"/>
  <c r="M9" i="6"/>
  <c r="M10" i="6"/>
  <c r="I12" i="6"/>
  <c r="B13" i="6"/>
  <c r="K10" i="6"/>
  <c r="K11" i="6"/>
  <c r="D12" i="6"/>
  <c r="L5" i="6"/>
  <c r="L7" i="6"/>
  <c r="L6" i="6"/>
  <c r="L8" i="6"/>
  <c r="L9" i="6"/>
  <c r="L10" i="6"/>
  <c r="L11" i="6"/>
  <c r="C14" i="6"/>
  <c r="J13" i="6"/>
  <c r="M12" i="6"/>
  <c r="F13" i="6"/>
  <c r="N7" i="6" l="1"/>
  <c r="M13" i="6"/>
  <c r="F14" i="6"/>
  <c r="N6" i="6"/>
  <c r="L13" i="6"/>
  <c r="E14" i="6"/>
  <c r="I13" i="6"/>
  <c r="G13" i="6"/>
  <c r="B14" i="6"/>
  <c r="C15" i="6"/>
  <c r="J14" i="6"/>
  <c r="N5" i="6"/>
  <c r="D13" i="6"/>
  <c r="K12" i="6"/>
  <c r="N12" i="6" s="1"/>
  <c r="G12" i="6"/>
  <c r="C16" i="6" l="1"/>
  <c r="J15" i="6"/>
  <c r="E15" i="6"/>
  <c r="L14" i="6"/>
  <c r="F15" i="6"/>
  <c r="M14" i="6"/>
  <c r="B15" i="6"/>
  <c r="I14" i="6"/>
  <c r="K13" i="6"/>
  <c r="N13" i="6" s="1"/>
  <c r="D14" i="6"/>
  <c r="D15" i="6" l="1"/>
  <c r="K14" i="6"/>
  <c r="N14" i="6" s="1"/>
  <c r="F16" i="6"/>
  <c r="M15" i="6"/>
  <c r="B16" i="6"/>
  <c r="I15" i="6"/>
  <c r="G15" i="6"/>
  <c r="G14" i="6"/>
  <c r="E16" i="6"/>
  <c r="L15" i="6"/>
  <c r="C17" i="6"/>
  <c r="J16" i="6"/>
  <c r="D16" i="6" l="1"/>
  <c r="K15" i="6"/>
  <c r="N15" i="6" s="1"/>
  <c r="L16" i="6"/>
  <c r="E17" i="6"/>
  <c r="B17" i="6"/>
  <c r="I16" i="6"/>
  <c r="G16" i="6"/>
  <c r="F17" i="6"/>
  <c r="M16" i="6"/>
  <c r="C18" i="6"/>
  <c r="J17" i="6"/>
  <c r="F18" i="6" l="1"/>
  <c r="M17" i="6"/>
  <c r="J18" i="6"/>
  <c r="C19" i="6"/>
  <c r="J19" i="6" s="1"/>
  <c r="L17" i="6"/>
  <c r="E18" i="6"/>
  <c r="B18" i="6"/>
  <c r="I17" i="6"/>
  <c r="D17" i="6"/>
  <c r="K16" i="6"/>
  <c r="N16" i="6" s="1"/>
  <c r="D18" i="6" l="1"/>
  <c r="K17" i="6"/>
  <c r="N17" i="6" s="1"/>
  <c r="B19" i="6"/>
  <c r="I18" i="6"/>
  <c r="G18" i="6"/>
  <c r="G17" i="6"/>
  <c r="E19" i="6"/>
  <c r="L19" i="6" s="1"/>
  <c r="L18" i="6"/>
  <c r="F19" i="6"/>
  <c r="M19" i="6" s="1"/>
  <c r="M18" i="6"/>
  <c r="I19" i="6" l="1"/>
  <c r="D19" i="6"/>
  <c r="K19" i="6" s="1"/>
  <c r="K18" i="6"/>
  <c r="N18" i="6" s="1"/>
  <c r="G19" i="6" l="1"/>
  <c r="N19" i="6"/>
  <c r="Q3" i="6" s="1"/>
  <c r="V28" i="6" l="1"/>
  <c r="S17" i="6"/>
  <c r="U15" i="6"/>
  <c r="C43" i="4"/>
  <c r="C45" i="4" s="1"/>
  <c r="U28" i="6"/>
  <c r="V26" i="6"/>
  <c r="V24" i="6"/>
  <c r="V22" i="6"/>
  <c r="V20" i="6"/>
  <c r="R17" i="6"/>
  <c r="T15" i="6"/>
  <c r="T28" i="6"/>
  <c r="U26" i="6"/>
  <c r="U24" i="6"/>
  <c r="U22" i="6"/>
  <c r="U20" i="6"/>
  <c r="V18" i="6"/>
  <c r="S15" i="6"/>
  <c r="S28" i="6"/>
  <c r="T26" i="6"/>
  <c r="T24" i="6"/>
  <c r="T22" i="6"/>
  <c r="T20" i="6"/>
  <c r="U18" i="6"/>
  <c r="R15" i="6"/>
  <c r="R26" i="6"/>
  <c r="R24" i="6"/>
  <c r="R22" i="6"/>
  <c r="R20" i="6"/>
  <c r="S18" i="6"/>
  <c r="U16" i="6"/>
  <c r="Q8" i="6"/>
  <c r="R18" i="6"/>
  <c r="T16" i="6"/>
  <c r="V14" i="6"/>
  <c r="V27" i="6"/>
  <c r="V25" i="6"/>
  <c r="V23" i="6"/>
  <c r="V21" i="6"/>
  <c r="V19" i="6"/>
  <c r="S16" i="6"/>
  <c r="U14" i="6"/>
  <c r="U27" i="6"/>
  <c r="U25" i="6"/>
  <c r="U23" i="6"/>
  <c r="U21" i="6"/>
  <c r="U19" i="6"/>
  <c r="R16" i="6"/>
  <c r="T14" i="6"/>
  <c r="T27" i="6"/>
  <c r="T25" i="6"/>
  <c r="T23" i="6"/>
  <c r="T21" i="6"/>
  <c r="T19" i="6"/>
  <c r="V17" i="6"/>
  <c r="S14" i="6"/>
  <c r="Q6" i="6"/>
  <c r="S27" i="6"/>
  <c r="S25" i="6"/>
  <c r="S23" i="6"/>
  <c r="S21" i="6"/>
  <c r="S19" i="6"/>
  <c r="U17" i="6"/>
  <c r="R14" i="6"/>
  <c r="R27" i="6"/>
  <c r="R25" i="6"/>
  <c r="R23" i="6"/>
  <c r="R21" i="6"/>
  <c r="R19" i="6"/>
  <c r="T17" i="6"/>
  <c r="V15" i="6"/>
  <c r="R28" i="6"/>
  <c r="S24" i="6"/>
  <c r="S26" i="6"/>
  <c r="S22" i="6"/>
  <c r="S20" i="6"/>
  <c r="T18" i="6"/>
  <c r="V16" i="6"/>
  <c r="O40" i="6" l="1"/>
  <c r="O31" i="6"/>
  <c r="O37" i="6"/>
  <c r="O38" i="6" s="1"/>
  <c r="O39" i="6" s="1"/>
  <c r="O28" i="6"/>
  <c r="C44" i="4"/>
  <c r="O34" i="6"/>
  <c r="O35" i="6" s="1"/>
  <c r="O36" i="6" s="1"/>
  <c r="O32" i="6" l="1"/>
  <c r="O33" i="6" s="1"/>
  <c r="O29" i="6"/>
  <c r="O30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<sst xmlns="http://schemas.openxmlformats.org/spreadsheetml/2006/main" count="128" uniqueCount="105">
  <si>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</si>
  <si>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</si>
  <si>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</si>
  <si>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</si>
  <si>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</si>
  <si>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</si>
  <si>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</si>
  <si>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</si>
  <si>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</si>
  <si>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</si>
  <si>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</si>
  <si>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</si>
  <si>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</si>
  <si>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</si>
  <si>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</si>
  <si>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</si>
  <si>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</si>
  <si>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</si>
  <si>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</si>
  <si>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</si>
  <si>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</si>
  <si>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</si>
  <si>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</si>
  <si>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</si>
  <si>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</si>
  <si>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19.9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</si>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</sst>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5" fillId="0" borderId="28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/>
    </xf>
    <xf numFmtId="0" fontId="4" fillId="4" borderId="28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6.5818180444843701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3D-42AF-AF3A-E862EFDB251E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3D-42AF-AF3A-E862EFDB2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0.38561578761919685</c:v>
                </c:pt>
                <c:pt idx="1">
                  <c:v>0.53357997781204192</c:v>
                </c:pt>
                <c:pt idx="2">
                  <c:v>0.39350793356012148</c:v>
                </c:pt>
                <c:pt idx="3">
                  <c:v>0.5624793827979061</c:v>
                </c:pt>
                <c:pt idx="4">
                  <c:v>0.73131437419719258</c:v>
                </c:pt>
                <c:pt idx="5">
                  <c:v>0.76437700330795921</c:v>
                </c:pt>
                <c:pt idx="6">
                  <c:v>0.70972395125810239</c:v>
                </c:pt>
                <c:pt idx="7">
                  <c:v>0.72878172419838594</c:v>
                </c:pt>
                <c:pt idx="8">
                  <c:v>0.76569175239607679</c:v>
                </c:pt>
                <c:pt idx="9">
                  <c:v>0.88675223151519156</c:v>
                </c:pt>
                <c:pt idx="10">
                  <c:v>0.97332835501277659</c:v>
                </c:pt>
                <c:pt idx="11">
                  <c:v>0.99579888370151226</c:v>
                </c:pt>
                <c:pt idx="12">
                  <c:v>1.010724506520656</c:v>
                </c:pt>
                <c:pt idx="13">
                  <c:v>0.9621433321059113</c:v>
                </c:pt>
                <c:pt idx="14">
                  <c:v>0.94485322707202946</c:v>
                </c:pt>
                <c:pt idx="15">
                  <c:v>0.87776101994964106</c:v>
                </c:pt>
                <c:pt idx="16">
                  <c:v>0.8694264803924745</c:v>
                </c:pt>
                <c:pt idx="17">
                  <c:v>0.84339610540297405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86-44F6-92B8-A176E3F28CFE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0.64999999999999991</c:v>
                </c:pt>
                <c:pt idx="5">
                  <c:v>0.71666666666666656</c:v>
                </c:pt>
                <c:pt idx="6">
                  <c:v>0.78333333333333321</c:v>
                </c:pt>
                <c:pt idx="7">
                  <c:v>0.84999999999999987</c:v>
                </c:pt>
                <c:pt idx="8">
                  <c:v>0.84999999999999987</c:v>
                </c:pt>
                <c:pt idx="9">
                  <c:v>0.84999999999999987</c:v>
                </c:pt>
                <c:pt idx="10">
                  <c:v>0.84999999999999987</c:v>
                </c:pt>
                <c:pt idx="11">
                  <c:v>0.84999999999999987</c:v>
                </c:pt>
                <c:pt idx="12">
                  <c:v>0.84999999999999987</c:v>
                </c:pt>
                <c:pt idx="13">
                  <c:v>0.84999999999999987</c:v>
                </c:pt>
                <c:pt idx="14">
                  <c:v>0.81666666666666654</c:v>
                </c:pt>
                <c:pt idx="15">
                  <c:v>0.78333333333333321</c:v>
                </c:pt>
                <c:pt idx="16">
                  <c:v>0.74999999999999989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86-44F6-92B8-A176E3F28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layout/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6.5818180444843701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13-4AF0-BC04-33383F176626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13-4AF0-BC04-33383F176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45" width="9.140625" style="6" customWidth="1"/>
    <col min="46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4.59899434</v>
      </c>
      <c r="C5" s="47">
        <v>4.3855412280000001</v>
      </c>
      <c r="D5" s="47">
        <v>5.5810265240000003</v>
      </c>
      <c r="E5" s="47">
        <v>4.1515631160000002</v>
      </c>
      <c r="F5" s="47">
        <v>5.8579022150000002</v>
      </c>
      <c r="G5" s="47">
        <v>4.408439671</v>
      </c>
      <c r="H5" s="47">
        <v>4.830577849</v>
      </c>
      <c r="I5" s="47">
        <v>28.037629410000001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4.714744337</v>
      </c>
      <c r="C7" s="47">
        <v>4.2257852470000001</v>
      </c>
      <c r="D7" s="47">
        <v>4.9591329899999996</v>
      </c>
      <c r="E7" s="47">
        <v>4.6374662430000004</v>
      </c>
      <c r="F7" s="47">
        <v>4.490093162</v>
      </c>
      <c r="G7" s="47">
        <v>5.6649929339999998</v>
      </c>
      <c r="H7" s="47">
        <v>4.7820358189999999</v>
      </c>
      <c r="I7" s="47">
        <v>29.34498778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5.4303918590000002</v>
      </c>
      <c r="C9" s="47">
        <v>4.7020441350000004</v>
      </c>
      <c r="D9" s="47">
        <v>4.8818225389999998</v>
      </c>
      <c r="E9" s="47">
        <v>4.0458404659999996</v>
      </c>
      <c r="F9" s="47">
        <v>5.2347271590000002</v>
      </c>
      <c r="G9" s="47">
        <v>4.9762760400000001</v>
      </c>
      <c r="H9" s="47">
        <v>4.8785170330000014</v>
      </c>
      <c r="I9" s="47">
        <v>27.762115009999999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5.5354526340000003</v>
      </c>
      <c r="C11" s="47">
        <v>5.638884408</v>
      </c>
      <c r="D11" s="47">
        <v>5.8539089889999998</v>
      </c>
      <c r="E11" s="47">
        <v>5.4519361799999997</v>
      </c>
      <c r="F11" s="47">
        <v>5.2885943110000007</v>
      </c>
      <c r="G11" s="47">
        <v>6.0053513489999997</v>
      </c>
      <c r="H11" s="47">
        <v>5.6290213120000008</v>
      </c>
      <c r="I11" s="47">
        <v>24.060656829999999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5.3933875860000002</v>
      </c>
      <c r="C13" s="47">
        <v>5.4515557440000002</v>
      </c>
      <c r="D13" s="47">
        <v>5.657323742</v>
      </c>
      <c r="E13" s="47">
        <v>5.6629411829999992</v>
      </c>
      <c r="F13" s="47">
        <v>5.2824166119999996</v>
      </c>
      <c r="G13" s="47">
        <v>5.3074976449999998</v>
      </c>
      <c r="H13" s="47">
        <v>5.459187086</v>
      </c>
      <c r="I13" s="47">
        <v>24.80917891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5.8272195299999998</v>
      </c>
      <c r="C15" s="47">
        <v>5.9739011409999998</v>
      </c>
      <c r="D15" s="47">
        <v>6.4271781140000002</v>
      </c>
      <c r="E15" s="47">
        <v>5.7379447829999997</v>
      </c>
      <c r="F15" s="47">
        <v>6.2592165629999998</v>
      </c>
      <c r="G15" s="47">
        <v>6.2092436849999997</v>
      </c>
      <c r="H15" s="47">
        <v>6.0724506360000001</v>
      </c>
      <c r="I15" s="47">
        <v>22.303671949999998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5.6189189490000002</v>
      </c>
      <c r="C17" s="47">
        <v>5.6605156750000001</v>
      </c>
      <c r="D17" s="47">
        <v>5.9355469330000004</v>
      </c>
      <c r="E17" s="47">
        <v>5.5677115710000002</v>
      </c>
      <c r="F17" s="47">
        <v>5.8298509840000001</v>
      </c>
      <c r="G17" s="47">
        <v>6.1574415399999998</v>
      </c>
      <c r="H17" s="47">
        <v>5.7949976090000002</v>
      </c>
      <c r="I17" s="47">
        <v>23.371527189999998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5.1976301969999996</v>
      </c>
      <c r="C19" s="47">
        <v>5.5802617210000003</v>
      </c>
      <c r="D19" s="47">
        <v>5.202827214</v>
      </c>
      <c r="E19" s="47">
        <v>5.1789310310000003</v>
      </c>
      <c r="F19" s="47">
        <v>5.4986960229999999</v>
      </c>
      <c r="G19" s="47">
        <v>5.2417521599999999</v>
      </c>
      <c r="H19" s="47">
        <v>5.3166830579999997</v>
      </c>
      <c r="I19" s="47">
        <v>25.4741423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4.830577849</v>
      </c>
      <c r="M20" s="102">
        <f>'Initial Parameters'!L16</f>
        <v>1</v>
      </c>
    </row>
    <row r="21" spans="1:97" x14ac:dyDescent="0.25">
      <c r="A21" s="47">
        <v>630</v>
      </c>
      <c r="B21" s="47">
        <v>4.9131414309999997</v>
      </c>
      <c r="C21" s="47">
        <v>4.8427309120000004</v>
      </c>
      <c r="D21" s="47">
        <v>5.1574948889999996</v>
      </c>
      <c r="E21" s="47">
        <v>5.179843322</v>
      </c>
      <c r="F21" s="47">
        <v>5.0440380089999994</v>
      </c>
      <c r="G21" s="47">
        <v>4.9818532739999997</v>
      </c>
      <c r="H21" s="47">
        <v>5.0198503060000004</v>
      </c>
      <c r="I21" s="47">
        <v>26.98047291</v>
      </c>
      <c r="K21" s="47">
        <v>125</v>
      </c>
      <c r="L21" s="47">
        <f>H7</f>
        <v>4.7820358189999999</v>
      </c>
      <c r="M21" s="102">
        <f>'Initial Parameters'!L17</f>
        <v>1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4.8785170330000014</v>
      </c>
      <c r="M22" s="102">
        <f>'Initial Parameters'!L18</f>
        <v>1</v>
      </c>
    </row>
    <row r="23" spans="1:97" x14ac:dyDescent="0.25">
      <c r="A23" s="47">
        <v>800</v>
      </c>
      <c r="B23" s="47">
        <v>4.9207545259999996</v>
      </c>
      <c r="C23" s="47">
        <v>4.9337337290000001</v>
      </c>
      <c r="D23" s="47">
        <v>5.0438043959999996</v>
      </c>
      <c r="E23" s="47">
        <v>4.8828521870000001</v>
      </c>
      <c r="F23" s="47">
        <v>4.6182570820000004</v>
      </c>
      <c r="G23" s="47">
        <v>5.0625905449999999</v>
      </c>
      <c r="H23" s="47">
        <v>4.9103320779999997</v>
      </c>
      <c r="I23" s="47">
        <v>27.582233420000001</v>
      </c>
      <c r="K23" s="47">
        <v>200</v>
      </c>
      <c r="L23" s="47">
        <f>H11</f>
        <v>5.6290213120000008</v>
      </c>
      <c r="M23" s="102">
        <f>'Initial Parameters'!L19</f>
        <v>1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5.459187086</v>
      </c>
      <c r="M24" s="102">
        <f>'Initial Parameters'!L20</f>
        <v>1</v>
      </c>
    </row>
    <row r="25" spans="1:97" x14ac:dyDescent="0.25">
      <c r="A25" s="47">
        <v>1000</v>
      </c>
      <c r="B25" s="47">
        <v>4.755811885</v>
      </c>
      <c r="C25" s="47">
        <v>5.1935477939999997</v>
      </c>
      <c r="D25" s="47">
        <v>4.5979701149999999</v>
      </c>
      <c r="E25" s="47">
        <v>4.9055949649999997</v>
      </c>
      <c r="F25" s="47">
        <v>4.82138344</v>
      </c>
      <c r="G25" s="47">
        <v>4.6645906850000003</v>
      </c>
      <c r="H25" s="47">
        <v>4.8231498139999998</v>
      </c>
      <c r="I25" s="47">
        <v>28.080801260000001</v>
      </c>
      <c r="K25" s="47">
        <v>315</v>
      </c>
      <c r="L25" s="47">
        <f>H15</f>
        <v>6.0724506360000001</v>
      </c>
      <c r="M25" s="102">
        <f>'Initial Parameters'!L21</f>
        <v>1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5.7949976090000002</v>
      </c>
      <c r="M26" s="102">
        <f>'Initial Parameters'!L22</f>
        <v>1</v>
      </c>
    </row>
    <row r="27" spans="1:97" x14ac:dyDescent="0.25">
      <c r="A27" s="47">
        <v>1250</v>
      </c>
      <c r="B27" s="47">
        <v>4.9287397000000004</v>
      </c>
      <c r="C27" s="47">
        <v>4.6835006909999999</v>
      </c>
      <c r="D27" s="47">
        <v>4.6488916180000004</v>
      </c>
      <c r="E27" s="47">
        <v>4.7604991879999998</v>
      </c>
      <c r="F27" s="47">
        <v>4.7406569369999998</v>
      </c>
      <c r="G27" s="47">
        <v>4.6567083409999999</v>
      </c>
      <c r="H27" s="47">
        <v>4.7364994119999997</v>
      </c>
      <c r="I27" s="47">
        <v>28.59451207</v>
      </c>
      <c r="K27" s="47">
        <v>500</v>
      </c>
      <c r="L27" s="47">
        <f>H19</f>
        <v>5.3166830579999997</v>
      </c>
      <c r="M27" s="102">
        <f>'Initial Parameters'!L23</f>
        <v>1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5.0198503060000004</v>
      </c>
      <c r="M28" s="102">
        <f>'Initial Parameters'!L24</f>
        <v>1</v>
      </c>
    </row>
    <row r="29" spans="1:97" x14ac:dyDescent="0.25">
      <c r="A29" s="47">
        <v>1600</v>
      </c>
      <c r="B29" s="47">
        <v>4.5050686830000002</v>
      </c>
      <c r="C29" s="47">
        <v>4.5300417709999996</v>
      </c>
      <c r="D29" s="47">
        <v>4.3602690309999996</v>
      </c>
      <c r="E29" s="47">
        <v>4.6180660509999996</v>
      </c>
      <c r="F29" s="47">
        <v>4.4398087479999999</v>
      </c>
      <c r="G29" s="47">
        <v>4.6532075849999996</v>
      </c>
      <c r="H29" s="47">
        <v>4.5177436450000004</v>
      </c>
      <c r="I29" s="47">
        <v>29.979092479999998</v>
      </c>
      <c r="K29" s="47">
        <v>800</v>
      </c>
      <c r="L29" s="47">
        <f>H23</f>
        <v>4.9103320779999997</v>
      </c>
      <c r="M29" s="102">
        <f>'Initial Parameters'!L25</f>
        <v>1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4.8231498139999998</v>
      </c>
      <c r="M30" s="102">
        <f>'Initial Parameters'!L26</f>
        <v>1</v>
      </c>
    </row>
    <row r="31" spans="1:97" x14ac:dyDescent="0.25">
      <c r="A31" s="47">
        <v>2000</v>
      </c>
      <c r="B31" s="47">
        <v>3.6604006990000002</v>
      </c>
      <c r="C31" s="47">
        <v>3.7358435550000002</v>
      </c>
      <c r="D31" s="47">
        <v>3.7966858179999998</v>
      </c>
      <c r="E31" s="47">
        <v>3.842144931</v>
      </c>
      <c r="F31" s="47">
        <v>3.773829476</v>
      </c>
      <c r="G31" s="47">
        <v>3.6506257249999998</v>
      </c>
      <c r="H31" s="47">
        <v>3.7432550340000001</v>
      </c>
      <c r="I31" s="47">
        <v>36.181832280000002</v>
      </c>
      <c r="J31" s="1"/>
      <c r="K31" s="47">
        <v>1250</v>
      </c>
      <c r="L31" s="47">
        <f>H27</f>
        <v>4.7364994119999997</v>
      </c>
      <c r="M31" s="102">
        <f>'Initial Parameters'!L27</f>
        <v>1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4.5177436450000004</v>
      </c>
      <c r="M32" s="102">
        <f>'Initial Parameters'!L28</f>
        <v>1</v>
      </c>
    </row>
    <row r="33" spans="1:97" x14ac:dyDescent="0.25">
      <c r="A33" s="47">
        <v>2500</v>
      </c>
      <c r="B33" s="47">
        <v>3.569350912</v>
      </c>
      <c r="C33" s="47">
        <v>3.350934917</v>
      </c>
      <c r="D33" s="47">
        <v>3.4484897490000002</v>
      </c>
      <c r="E33" s="47">
        <v>3.3777448909999999</v>
      </c>
      <c r="F33" s="47">
        <v>3.4748594069999998</v>
      </c>
      <c r="G33" s="47">
        <v>3.3617149230000001</v>
      </c>
      <c r="H33" s="47">
        <v>3.4305157999999998</v>
      </c>
      <c r="I33" s="47">
        <v>39.480293699999997</v>
      </c>
      <c r="K33" s="47">
        <v>2000</v>
      </c>
      <c r="L33" s="47">
        <f>H31</f>
        <v>3.7432550340000001</v>
      </c>
      <c r="M33" s="102">
        <f>'Initial Parameters'!L29</f>
        <v>1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3.4305157999999998</v>
      </c>
      <c r="M34" s="102">
        <f>'Initial Parameters'!L30</f>
        <v>1</v>
      </c>
    </row>
    <row r="35" spans="1:97" x14ac:dyDescent="0.25">
      <c r="A35" s="47">
        <v>3150</v>
      </c>
      <c r="B35" s="47">
        <v>2.801803155</v>
      </c>
      <c r="C35" s="47">
        <v>2.8473916460000002</v>
      </c>
      <c r="D35" s="47">
        <v>2.9302656690000002</v>
      </c>
      <c r="E35" s="47">
        <v>2.9612731839999999</v>
      </c>
      <c r="F35" s="47">
        <v>2.931026401</v>
      </c>
      <c r="G35" s="47">
        <v>2.7629497949999999</v>
      </c>
      <c r="H35" s="47">
        <v>2.8724516420000001</v>
      </c>
      <c r="I35" s="47">
        <v>47.150562909999998</v>
      </c>
      <c r="K35" s="47">
        <v>3150</v>
      </c>
      <c r="L35" s="47">
        <f>H35</f>
        <v>2.8724516420000001</v>
      </c>
      <c r="M35" s="102">
        <f>'Initial Parameters'!L31</f>
        <v>1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2.5327698249999999</v>
      </c>
      <c r="M36" s="102">
        <f>'Initial Parameters'!L32</f>
        <v>1</v>
      </c>
    </row>
    <row r="37" spans="1:97" x14ac:dyDescent="0.25">
      <c r="A37" s="47">
        <v>4000</v>
      </c>
      <c r="B37" s="47">
        <v>2.4913659959999999</v>
      </c>
      <c r="C37" s="47">
        <v>2.4953562570000001</v>
      </c>
      <c r="D37" s="47">
        <v>2.5723570379999998</v>
      </c>
      <c r="E37" s="47">
        <v>2.4808230560000002</v>
      </c>
      <c r="F37" s="47">
        <v>2.5644965989999999</v>
      </c>
      <c r="G37" s="47">
        <v>2.5922200069999999</v>
      </c>
      <c r="H37" s="47">
        <v>2.5327698249999999</v>
      </c>
      <c r="I37" s="47">
        <v>53.474109319999997</v>
      </c>
      <c r="K37" s="47">
        <v>5000</v>
      </c>
      <c r="L37" s="47">
        <f>H39</f>
        <v>2.2454059979999998</v>
      </c>
      <c r="M37" s="102">
        <f>'Initial Parameters'!L33</f>
        <v>1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2.2129274730000001</v>
      </c>
      <c r="C39" s="47">
        <v>2.2440786949999998</v>
      </c>
      <c r="D39" s="47">
        <v>2.3016770090000001</v>
      </c>
      <c r="E39" s="47">
        <v>2.2058514869999999</v>
      </c>
      <c r="F39" s="47">
        <v>2.2492104550000001</v>
      </c>
      <c r="G39" s="47">
        <v>2.2586908719999998</v>
      </c>
      <c r="H39" s="47">
        <v>2.2454059979999998</v>
      </c>
      <c r="I39" s="47">
        <v>60.317590260000003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45" width="9.140625" style="71" customWidth="1"/>
    <col min="46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19.9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342.94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1.3703239736925639E-2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69.879245379846083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12.79610198793895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2.6281926455148544E-3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6.0516372070790875E-4</v>
      </c>
      <c r="F16" s="111">
        <f t="shared" ref="F16:F33" si="3">D16/(10*LOG10(EXP(1)))</f>
        <v>6.0737636862119929E-4</v>
      </c>
      <c r="G16" s="95">
        <f>'T1 Empty Room'!L20</f>
        <v>4.830577849</v>
      </c>
      <c r="H16" s="95">
        <f>'T2 With Sample'!B10</f>
        <v>3.0853673705161699</v>
      </c>
      <c r="I16" s="41">
        <f t="shared" ref="I16:I33" si="4">(55.3*$C$6/(C$9*G16))-(4*$C$6*E16)</f>
        <v>6.7804596630353782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1</v>
      </c>
    </row>
    <row r="17" spans="2:12" x14ac:dyDescent="0.2">
      <c r="B17" s="40">
        <v>125</v>
      </c>
      <c r="C17" s="108">
        <f t="shared" si="0"/>
        <v>2.9647521463518891E-3</v>
      </c>
      <c r="D17" s="109">
        <f t="shared" si="1"/>
        <v>2.9899561535628809E-3</v>
      </c>
      <c r="E17" s="110">
        <f t="shared" si="2"/>
        <v>6.8265940966119609E-4</v>
      </c>
      <c r="F17" s="111">
        <f t="shared" si="3"/>
        <v>6.8846284678997054E-4</v>
      </c>
      <c r="G17" s="95">
        <f>'T1 Empty Room'!L21</f>
        <v>4.7820358189999999</v>
      </c>
      <c r="H17" s="95">
        <f>'T2 With Sample'!B11</f>
        <v>2.6935938832354398</v>
      </c>
      <c r="I17" s="41">
        <f t="shared" si="4"/>
        <v>6.7867825330310438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1</v>
      </c>
    </row>
    <row r="18" spans="2:12" x14ac:dyDescent="0.2">
      <c r="B18" s="40">
        <v>160</v>
      </c>
      <c r="C18" s="108">
        <f t="shared" si="0"/>
        <v>3.2568464013366647E-3</v>
      </c>
      <c r="D18" s="109">
        <f t="shared" si="1"/>
        <v>3.2984048794177778E-3</v>
      </c>
      <c r="E18" s="110">
        <f t="shared" si="2"/>
        <v>7.4991659738891069E-4</v>
      </c>
      <c r="F18" s="111">
        <f t="shared" si="3"/>
        <v>7.5948579060061976E-4</v>
      </c>
      <c r="G18" s="95">
        <f>'T1 Empty Room'!L22</f>
        <v>4.8785170330000014</v>
      </c>
      <c r="H18" s="95">
        <f>'T2 With Sample'!B12</f>
        <v>3.08017053107507</v>
      </c>
      <c r="I18" s="41">
        <f t="shared" si="4"/>
        <v>6.5818180444843701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1</v>
      </c>
    </row>
    <row r="19" spans="2:12" x14ac:dyDescent="0.2">
      <c r="B19" s="40">
        <v>200</v>
      </c>
      <c r="C19" s="108">
        <f t="shared" si="0"/>
        <v>3.4507232491481081E-3</v>
      </c>
      <c r="D19" s="109">
        <f t="shared" si="1"/>
        <v>3.5045361287648824E-3</v>
      </c>
      <c r="E19" s="110">
        <f t="shared" si="2"/>
        <v>7.9455839135364123E-4</v>
      </c>
      <c r="F19" s="111">
        <f t="shared" si="3"/>
        <v>8.0694926479530792E-4</v>
      </c>
      <c r="G19" s="95">
        <f>'T1 Empty Room'!L23</f>
        <v>5.6290213120000008</v>
      </c>
      <c r="H19" s="95">
        <f>'T2 With Sample'!B13</f>
        <v>2.86742065996224</v>
      </c>
      <c r="I19" s="41">
        <f t="shared" si="4"/>
        <v>5.577586852302252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1</v>
      </c>
    </row>
    <row r="20" spans="2:12" x14ac:dyDescent="0.2">
      <c r="B20" s="40">
        <v>250</v>
      </c>
      <c r="C20" s="108">
        <f t="shared" si="0"/>
        <v>3.5897218361387625E-3</v>
      </c>
      <c r="D20" s="109">
        <f t="shared" si="1"/>
        <v>3.652906003496036E-3</v>
      </c>
      <c r="E20" s="110">
        <f t="shared" si="2"/>
        <v>8.2656399878883288E-4</v>
      </c>
      <c r="F20" s="111">
        <f t="shared" si="3"/>
        <v>8.4111269097584271E-4</v>
      </c>
      <c r="G20" s="95">
        <f>'T1 Empty Room'!L24</f>
        <v>5.459187086</v>
      </c>
      <c r="H20" s="95">
        <f>'T2 With Sample'!B14</f>
        <v>2.4653939847469299</v>
      </c>
      <c r="I20" s="41">
        <f t="shared" si="4"/>
        <v>5.7447210124869068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1</v>
      </c>
    </row>
    <row r="21" spans="2:12" x14ac:dyDescent="0.2">
      <c r="B21" s="40">
        <v>315</v>
      </c>
      <c r="C21" s="108">
        <f t="shared" si="0"/>
        <v>3.6908738526767811E-3</v>
      </c>
      <c r="D21" s="109">
        <f t="shared" si="1"/>
        <v>3.7610056277722274E-3</v>
      </c>
      <c r="E21" s="110">
        <f t="shared" si="2"/>
        <v>8.4985511132950578E-4</v>
      </c>
      <c r="F21" s="111">
        <f t="shared" si="3"/>
        <v>8.6600354931750431E-4</v>
      </c>
      <c r="G21" s="95">
        <f>'T1 Empty Room'!L25</f>
        <v>6.0724506360000001</v>
      </c>
      <c r="H21" s="95">
        <f>'T2 With Sample'!B15</f>
        <v>2.51756531854413</v>
      </c>
      <c r="I21" s="41">
        <f t="shared" si="4"/>
        <v>5.0710275856901719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1</v>
      </c>
    </row>
    <row r="22" spans="2:12" x14ac:dyDescent="0.2">
      <c r="B22" s="40">
        <v>400</v>
      </c>
      <c r="C22" s="108">
        <f t="shared" si="0"/>
        <v>3.7650403756562373E-3</v>
      </c>
      <c r="D22" s="109">
        <f t="shared" si="1"/>
        <v>3.8400347826031164E-3</v>
      </c>
      <c r="E22" s="110">
        <f t="shared" si="2"/>
        <v>8.6693258435067532E-4</v>
      </c>
      <c r="F22" s="111">
        <f t="shared" si="3"/>
        <v>8.8420068470005666E-4</v>
      </c>
      <c r="G22" s="95">
        <f>'T1 Empty Room'!L26</f>
        <v>5.7949976090000002</v>
      </c>
      <c r="H22" s="95">
        <f>'T2 With Sample'!B16</f>
        <v>2.5739118470851001</v>
      </c>
      <c r="I22" s="41">
        <f t="shared" si="4"/>
        <v>5.3345023920184973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1</v>
      </c>
    </row>
    <row r="23" spans="2:12" x14ac:dyDescent="0.2">
      <c r="B23" s="40">
        <v>500</v>
      </c>
      <c r="C23" s="108">
        <f t="shared" si="0"/>
        <v>3.8184347806860483E-3</v>
      </c>
      <c r="D23" s="109">
        <f t="shared" si="1"/>
        <v>3.8964316455678298E-3</v>
      </c>
      <c r="E23" s="110">
        <f t="shared" si="2"/>
        <v>8.792271004577683E-4</v>
      </c>
      <c r="F23" s="111">
        <f t="shared" si="3"/>
        <v>8.9718654229547438E-4</v>
      </c>
      <c r="G23" s="95">
        <f>'T1 Empty Room'!L27</f>
        <v>5.3166830579999997</v>
      </c>
      <c r="H23" s="95">
        <f>'T2 With Sample'!B17</f>
        <v>2.43999449598294</v>
      </c>
      <c r="I23" s="41">
        <f t="shared" si="4"/>
        <v>5.8719723252444664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1</v>
      </c>
    </row>
    <row r="24" spans="2:12" x14ac:dyDescent="0.2">
      <c r="B24" s="40">
        <v>630</v>
      </c>
      <c r="C24" s="108">
        <f t="shared" si="0"/>
        <v>3.8680846081944843E-3</v>
      </c>
      <c r="D24" s="109">
        <f t="shared" si="1"/>
        <v>3.9481131945714541E-3</v>
      </c>
      <c r="E24" s="110">
        <f t="shared" si="2"/>
        <v>8.9065939572683327E-4</v>
      </c>
      <c r="F24" s="111">
        <f t="shared" si="3"/>
        <v>9.0908665872733302E-4</v>
      </c>
      <c r="G24" s="95">
        <f>'T1 Empty Room'!L28</f>
        <v>5.0198503060000004</v>
      </c>
      <c r="H24" s="95">
        <f>'T2 With Sample'!B18</f>
        <v>2.3138618539096298</v>
      </c>
      <c r="I24" s="41">
        <f t="shared" si="4"/>
        <v>6.2547213711672374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1</v>
      </c>
    </row>
    <row r="25" spans="2:12" x14ac:dyDescent="0.2">
      <c r="B25" s="40">
        <v>800</v>
      </c>
      <c r="C25" s="108">
        <f t="shared" si="0"/>
        <v>3.9241270179444006E-3</v>
      </c>
      <c r="D25" s="109">
        <f t="shared" si="1"/>
        <v>4.0054844580125473E-3</v>
      </c>
      <c r="E25" s="110">
        <f t="shared" si="2"/>
        <v>9.0356363745339543E-4</v>
      </c>
      <c r="F25" s="111">
        <f t="shared" si="3"/>
        <v>9.2229688032390261E-4</v>
      </c>
      <c r="G25" s="95">
        <f>'T1 Empty Room'!L29</f>
        <v>4.9103320779999997</v>
      </c>
      <c r="H25" s="95">
        <f>'T2 With Sample'!B19</f>
        <v>2.1123592288966901</v>
      </c>
      <c r="I25" s="41">
        <f t="shared" si="4"/>
        <v>6.400321929340949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1</v>
      </c>
    </row>
    <row r="26" spans="2:12" x14ac:dyDescent="0.2">
      <c r="B26" s="40">
        <v>1000</v>
      </c>
      <c r="C26" s="108">
        <f t="shared" si="0"/>
        <v>3.9919461248180063E-3</v>
      </c>
      <c r="D26" s="109">
        <f t="shared" si="1"/>
        <v>4.074077133086453E-3</v>
      </c>
      <c r="E26" s="110">
        <f t="shared" si="2"/>
        <v>9.1917956390412891E-4</v>
      </c>
      <c r="F26" s="111">
        <f t="shared" si="3"/>
        <v>9.3809092743527857E-4</v>
      </c>
      <c r="G26" s="95">
        <f>'T1 Empty Room'!L30</f>
        <v>4.8231498139999998</v>
      </c>
      <c r="H26" s="95">
        <f>'T2 With Sample'!B20</f>
        <v>1.9865323522312699</v>
      </c>
      <c r="I26" s="41">
        <f t="shared" si="4"/>
        <v>6.5166406648160526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1</v>
      </c>
    </row>
    <row r="27" spans="2:12" x14ac:dyDescent="0.2">
      <c r="B27" s="40">
        <v>1250</v>
      </c>
      <c r="C27" s="108">
        <f t="shared" si="0"/>
        <v>4.0886180988564226E-3</v>
      </c>
      <c r="D27" s="109">
        <f t="shared" si="1"/>
        <v>4.171221005791796E-3</v>
      </c>
      <c r="E27" s="110">
        <f t="shared" si="2"/>
        <v>9.4143910853724535E-4</v>
      </c>
      <c r="F27" s="111">
        <f t="shared" si="3"/>
        <v>9.6045913075198193E-4</v>
      </c>
      <c r="G27" s="95">
        <f>'T1 Empty Room'!L31</f>
        <v>4.7364994119999997</v>
      </c>
      <c r="H27" s="95">
        <f>'T2 With Sample'!B21</f>
        <v>1.94548757954165</v>
      </c>
      <c r="I27" s="41">
        <f t="shared" si="4"/>
        <v>6.6310884436346109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1</v>
      </c>
    </row>
    <row r="28" spans="2:12" x14ac:dyDescent="0.2">
      <c r="B28" s="40">
        <v>1600</v>
      </c>
      <c r="C28" s="108">
        <f t="shared" si="0"/>
        <v>4.2530412113541485E-3</v>
      </c>
      <c r="D28" s="109">
        <f t="shared" si="1"/>
        <v>4.3359229951212769E-3</v>
      </c>
      <c r="E28" s="110">
        <f t="shared" si="2"/>
        <v>9.7929892931534015E-4</v>
      </c>
      <c r="F28" s="111">
        <f t="shared" si="3"/>
        <v>9.9838316529363472E-4</v>
      </c>
      <c r="G28" s="95">
        <f>'T1 Empty Room'!L32</f>
        <v>4.5177436450000004</v>
      </c>
      <c r="H28" s="95">
        <f>'T2 With Sample'!B22</f>
        <v>1.89120420399092</v>
      </c>
      <c r="I28" s="41">
        <f t="shared" si="4"/>
        <v>6.9589434737220053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1</v>
      </c>
    </row>
    <row r="29" spans="2:12" x14ac:dyDescent="0.2">
      <c r="B29" s="40">
        <v>2000</v>
      </c>
      <c r="C29" s="108">
        <f t="shared" si="0"/>
        <v>4.4864372860412014E-3</v>
      </c>
      <c r="D29" s="109">
        <f t="shared" si="1"/>
        <v>4.5694049907233662E-3</v>
      </c>
      <c r="E29" s="110">
        <f t="shared" si="2"/>
        <v>1.0330403615491134E-3</v>
      </c>
      <c r="F29" s="111">
        <f t="shared" si="3"/>
        <v>1.0521443815492218E-3</v>
      </c>
      <c r="G29" s="95">
        <f>'T1 Empty Room'!L33</f>
        <v>3.7432550340000001</v>
      </c>
      <c r="H29" s="95">
        <f>'T2 With Sample'!B23</f>
        <v>1.78641959380725</v>
      </c>
      <c r="I29" s="41">
        <f t="shared" si="4"/>
        <v>8.5291829264875574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1</v>
      </c>
    </row>
    <row r="30" spans="2:12" x14ac:dyDescent="0.2">
      <c r="B30" s="40">
        <v>2500</v>
      </c>
      <c r="C30" s="108">
        <f t="shared" si="0"/>
        <v>4.8487675233017903E-3</v>
      </c>
      <c r="D30" s="109">
        <f t="shared" si="1"/>
        <v>4.9316814456833204E-3</v>
      </c>
      <c r="E30" s="110">
        <f t="shared" si="2"/>
        <v>1.1164699818548361E-3</v>
      </c>
      <c r="F30" s="111">
        <f t="shared" si="3"/>
        <v>1.1355616180225739E-3</v>
      </c>
      <c r="G30" s="95">
        <f>'T1 Empty Room'!L34</f>
        <v>3.4305157999999998</v>
      </c>
      <c r="H30" s="95">
        <f>'T2 With Sample'!B24</f>
        <v>1.7275117172524701</v>
      </c>
      <c r="I30" s="41">
        <f t="shared" si="4"/>
        <v>9.3161504194873235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1</v>
      </c>
    </row>
    <row r="31" spans="2:12" x14ac:dyDescent="0.2">
      <c r="B31" s="40">
        <v>3150</v>
      </c>
      <c r="C31" s="108">
        <f t="shared" si="0"/>
        <v>5.4385796349334381E-3</v>
      </c>
      <c r="D31" s="109">
        <f t="shared" si="1"/>
        <v>5.521278365506835E-3</v>
      </c>
      <c r="E31" s="110">
        <f t="shared" si="2"/>
        <v>1.2522792394458733E-3</v>
      </c>
      <c r="F31" s="111">
        <f t="shared" si="3"/>
        <v>1.2713213258686569E-3</v>
      </c>
      <c r="G31" s="95">
        <f>'T1 Empty Room'!L35</f>
        <v>2.8724516420000001</v>
      </c>
      <c r="H31" s="95">
        <f>'T2 With Sample'!B25</f>
        <v>1.62578605531623</v>
      </c>
      <c r="I31" s="41">
        <f t="shared" si="4"/>
        <v>11.197149677393753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1</v>
      </c>
    </row>
    <row r="32" spans="2:12" x14ac:dyDescent="0.2">
      <c r="B32" s="40">
        <v>4000</v>
      </c>
      <c r="C32" s="108">
        <f t="shared" si="0"/>
        <v>6.4135555446597674E-3</v>
      </c>
      <c r="D32" s="109">
        <f t="shared" si="1"/>
        <v>6.4958112460841502E-3</v>
      </c>
      <c r="E32" s="110">
        <f t="shared" si="2"/>
        <v>1.4767757390222887E-3</v>
      </c>
      <c r="F32" s="111">
        <f t="shared" si="3"/>
        <v>1.4957158142136441E-3</v>
      </c>
      <c r="G32" s="95">
        <f>'T1 Empty Room'!L36</f>
        <v>2.5327698249999999</v>
      </c>
      <c r="H32" s="95">
        <f>'T2 With Sample'!B26</f>
        <v>1.5169488289806801</v>
      </c>
      <c r="I32" s="41">
        <f t="shared" si="4"/>
        <v>12.64931722196288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1</v>
      </c>
    </row>
    <row r="33" spans="2:12" ht="14.45" customHeight="1" thickBot="1" x14ac:dyDescent="0.25">
      <c r="B33" s="44">
        <v>5000</v>
      </c>
      <c r="C33" s="112">
        <f t="shared" si="0"/>
        <v>7.8567486925778737E-3</v>
      </c>
      <c r="D33" s="113">
        <f t="shared" si="1"/>
        <v>7.9382985134034724E-3</v>
      </c>
      <c r="E33" s="114">
        <f t="shared" si="2"/>
        <v>1.8090832418930271E-3</v>
      </c>
      <c r="F33" s="115">
        <f t="shared" si="3"/>
        <v>1.8278607820699628E-3</v>
      </c>
      <c r="G33" s="96">
        <f>'T1 Empty Room'!L37</f>
        <v>2.2454059979999998</v>
      </c>
      <c r="H33" s="96">
        <f>'T2 With Sample'!B27</f>
        <v>1.42489001409366</v>
      </c>
      <c r="I33" s="45">
        <f t="shared" si="4"/>
        <v>14.142617431311248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1</v>
      </c>
    </row>
    <row r="34" spans="2:12" ht="14.45" customHeight="1" thickBot="1" x14ac:dyDescent="0.25">
      <c r="H34" s="97"/>
      <c r="L34" s="55" t="b">
        <f>IF(SUM(L16:L33)=18,TRUE,FALSE)</f>
        <v>1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Z79"/>
  <sheetViews>
    <sheetView tabSelected="1" topLeftCell="A10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20" customWidth="1"/>
    <col min="2" max="2" width="8.7109375" style="120" customWidth="1"/>
    <col min="3" max="3" width="7.85546875" style="120" customWidth="1"/>
    <col min="4" max="4" width="9.140625" style="120" customWidth="1"/>
    <col min="5" max="5" width="7.7109375" style="120" customWidth="1"/>
    <col min="6" max="7" width="9.140625" style="120" customWidth="1"/>
    <col min="8" max="8" width="11.7109375" style="120" customWidth="1"/>
    <col min="9" max="9" width="14.5703125" style="120" customWidth="1"/>
    <col min="10" max="10" width="9.140625" style="120" customWidth="1"/>
    <col min="11" max="11" width="9.7109375" style="120" bestFit="1" customWidth="1"/>
    <col min="12" max="44" width="9.140625" style="120" customWidth="1"/>
    <col min="45" max="16384" width="9.140625" style="120"/>
  </cols>
  <sheetData>
    <row r="1" spans="1:26" ht="15.6" customHeight="1" x14ac:dyDescent="0.25">
      <c r="A1" s="140" t="s">
        <v>57</v>
      </c>
      <c r="B1" s="141"/>
      <c r="C1" s="141"/>
      <c r="D1" s="141"/>
      <c r="E1" s="141"/>
      <c r="F1" s="141"/>
      <c r="G1" s="141"/>
      <c r="H1" s="141"/>
      <c r="I1" s="141"/>
    </row>
    <row r="2" spans="1:26" x14ac:dyDescent="0.2">
      <c r="A2" s="121"/>
      <c r="B2" s="121"/>
      <c r="C2" s="121"/>
      <c r="D2" s="121"/>
      <c r="E2" s="121"/>
      <c r="F2" s="121"/>
      <c r="G2" s="121"/>
      <c r="H2" s="121"/>
      <c r="I2" s="121"/>
      <c r="K2" s="12"/>
    </row>
    <row r="3" spans="1:26" ht="15" customHeight="1" x14ac:dyDescent="0.25">
      <c r="A3" s="153" t="s">
        <v>58</v>
      </c>
      <c r="B3" s="127"/>
      <c r="C3" s="152" t="s">
        <v>59</v>
      </c>
      <c r="D3" s="126"/>
      <c r="E3" s="127"/>
      <c r="F3" s="121"/>
    </row>
    <row r="4" spans="1:26" ht="15" customHeight="1" x14ac:dyDescent="0.25">
      <c r="A4" s="153" t="s">
        <v>60</v>
      </c>
      <c r="B4" s="127"/>
      <c r="C4" s="155">
        <v>44229</v>
      </c>
      <c r="D4" s="126"/>
      <c r="E4" s="127"/>
      <c r="F4" s="121"/>
    </row>
    <row r="5" spans="1:26" ht="15" customHeight="1" x14ac:dyDescent="0.25">
      <c r="A5" s="150" t="s">
        <v>61</v>
      </c>
      <c r="B5" s="127"/>
      <c r="C5" s="152" t="s">
        <v>62</v>
      </c>
      <c r="D5" s="126"/>
      <c r="E5" s="127"/>
      <c r="F5" s="121"/>
    </row>
    <row r="6" spans="1:26" ht="30" customHeight="1" x14ac:dyDescent="0.25">
      <c r="A6" s="76" t="s">
        <v>63</v>
      </c>
      <c r="B6" s="119"/>
      <c r="C6" s="156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50" t="s">
        <v>65</v>
      </c>
      <c r="B7" s="127"/>
      <c r="C7" s="152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50" t="s">
        <v>67</v>
      </c>
      <c r="B8" s="127"/>
      <c r="C8" s="152" t="s">
        <v>68</v>
      </c>
      <c r="D8" s="126"/>
      <c r="E8" s="127"/>
      <c r="F8" s="56"/>
      <c r="G8" s="157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50" t="s">
        <v>70</v>
      </c>
      <c r="B9" s="127"/>
      <c r="C9" s="152">
        <v>15</v>
      </c>
      <c r="D9" s="126"/>
      <c r="E9" s="127"/>
      <c r="F9" s="56"/>
      <c r="G9" s="151" t="s">
        <v>71</v>
      </c>
      <c r="H9" s="127"/>
      <c r="I9" s="85">
        <f>('Initial Parameters'!C3+'Initial Parameters'!C4)/2</f>
        <v>19.75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53" t="s">
        <v>72</v>
      </c>
      <c r="B10" s="127"/>
      <c r="C10" s="152">
        <f>2.99*3.59</f>
        <v>10.7341</v>
      </c>
      <c r="D10" s="126"/>
      <c r="E10" s="127"/>
      <c r="F10" s="56"/>
      <c r="G10" s="151" t="s">
        <v>73</v>
      </c>
      <c r="H10" s="127"/>
      <c r="I10" s="85">
        <f>('Initial Parameters'!D3+'Initial Parameters'!D4)/2</f>
        <v>0.61499999999999999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53" t="s">
        <v>74</v>
      </c>
      <c r="B11" s="127"/>
      <c r="C11" s="152" t="s">
        <v>75</v>
      </c>
      <c r="D11" s="126"/>
      <c r="E11" s="127"/>
      <c r="F11" s="56"/>
      <c r="G11" s="151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54"/>
      <c r="B13" s="141"/>
      <c r="C13" s="141"/>
      <c r="D13" s="141"/>
      <c r="T13" s="11"/>
      <c r="U13" s="11"/>
      <c r="V13" s="11"/>
      <c r="W13" s="11"/>
      <c r="X13" s="11"/>
      <c r="Y13" s="11"/>
    </row>
    <row r="14" spans="1:26" ht="15" customHeight="1" x14ac:dyDescent="0.25">
      <c r="A14" s="148" t="s">
        <v>77</v>
      </c>
      <c r="B14" s="126"/>
      <c r="C14" s="149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3">
        <f>'Initial Parameters'!G16</f>
        <v>4.830577849</v>
      </c>
      <c r="C16" s="123">
        <f>'Initial Parameters'!H16</f>
        <v>3.0853673705161699</v>
      </c>
      <c r="D16" s="123">
        <f>('Absorption Area'!C6-'Absorption Area'!B6)/$C$10</f>
        <v>0.38561578761919685</v>
      </c>
    </row>
    <row r="17" spans="1:6" x14ac:dyDescent="0.2">
      <c r="A17" s="13">
        <v>125</v>
      </c>
      <c r="B17" s="123">
        <f>'Initial Parameters'!G17</f>
        <v>4.7820358189999999</v>
      </c>
      <c r="C17" s="123">
        <f>'Initial Parameters'!H17</f>
        <v>2.6935938832354398</v>
      </c>
      <c r="D17" s="123">
        <f>('Absorption Area'!C7-'Absorption Area'!B7)/$C$10</f>
        <v>0.53357997781204192</v>
      </c>
    </row>
    <row r="18" spans="1:6" x14ac:dyDescent="0.2">
      <c r="A18" s="13">
        <v>160</v>
      </c>
      <c r="B18" s="123">
        <f>'Initial Parameters'!G18</f>
        <v>4.8785170330000014</v>
      </c>
      <c r="C18" s="123">
        <f>'Initial Parameters'!H18</f>
        <v>3.08017053107507</v>
      </c>
      <c r="D18" s="123">
        <f>('Absorption Area'!C8-'Absorption Area'!B8)/$C$10</f>
        <v>0.39350793356012148</v>
      </c>
    </row>
    <row r="19" spans="1:6" x14ac:dyDescent="0.2">
      <c r="A19" s="13">
        <v>200</v>
      </c>
      <c r="B19" s="123">
        <f>'Initial Parameters'!G19</f>
        <v>5.6290213120000008</v>
      </c>
      <c r="C19" s="123">
        <f>'Initial Parameters'!H19</f>
        <v>2.86742065996224</v>
      </c>
      <c r="D19" s="123">
        <f>('Absorption Area'!C9-'Absorption Area'!B9)/$C$10</f>
        <v>0.5624793827979061</v>
      </c>
    </row>
    <row r="20" spans="1:6" x14ac:dyDescent="0.2">
      <c r="A20" s="13">
        <v>250</v>
      </c>
      <c r="B20" s="123">
        <f>'Initial Parameters'!G20</f>
        <v>5.459187086</v>
      </c>
      <c r="C20" s="123">
        <f>'Initial Parameters'!H20</f>
        <v>2.4653939847469299</v>
      </c>
      <c r="D20" s="123">
        <f>('Absorption Area'!C10-'Absorption Area'!B10)/$C$10</f>
        <v>0.73131437419719258</v>
      </c>
    </row>
    <row r="21" spans="1:6" x14ac:dyDescent="0.2">
      <c r="A21" s="13">
        <v>315</v>
      </c>
      <c r="B21" s="123">
        <f>'Initial Parameters'!G21</f>
        <v>6.0724506360000001</v>
      </c>
      <c r="C21" s="123">
        <f>'Initial Parameters'!H21</f>
        <v>2.51756531854413</v>
      </c>
      <c r="D21" s="123">
        <f>('Absorption Area'!C11-'Absorption Area'!B11)/$C$10</f>
        <v>0.76437700330795921</v>
      </c>
    </row>
    <row r="22" spans="1:6" x14ac:dyDescent="0.2">
      <c r="A22" s="13">
        <v>400</v>
      </c>
      <c r="B22" s="123">
        <f>'Initial Parameters'!G22</f>
        <v>5.7949976090000002</v>
      </c>
      <c r="C22" s="123">
        <f>'Initial Parameters'!H22</f>
        <v>2.5739118470851001</v>
      </c>
      <c r="D22" s="123">
        <f>('Absorption Area'!C12-'Absorption Area'!B12)/$C$10</f>
        <v>0.70972395125810239</v>
      </c>
    </row>
    <row r="23" spans="1:6" x14ac:dyDescent="0.2">
      <c r="A23" s="13">
        <v>500</v>
      </c>
      <c r="B23" s="123">
        <f>'Initial Parameters'!G23</f>
        <v>5.3166830579999997</v>
      </c>
      <c r="C23" s="123">
        <f>'Initial Parameters'!H23</f>
        <v>2.43999449598294</v>
      </c>
      <c r="D23" s="123">
        <f>('Absorption Area'!C13-'Absorption Area'!B13)/$C$10</f>
        <v>0.72878172419838594</v>
      </c>
    </row>
    <row r="24" spans="1:6" x14ac:dyDescent="0.2">
      <c r="A24" s="13">
        <v>630</v>
      </c>
      <c r="B24" s="123">
        <f>'Initial Parameters'!G24</f>
        <v>5.0198503060000004</v>
      </c>
      <c r="C24" s="123">
        <f>'Initial Parameters'!H24</f>
        <v>2.3138618539096298</v>
      </c>
      <c r="D24" s="123">
        <f>('Absorption Area'!C14-'Absorption Area'!B14)/$C$10</f>
        <v>0.76569175239607679</v>
      </c>
    </row>
    <row r="25" spans="1:6" x14ac:dyDescent="0.2">
      <c r="A25" s="13">
        <v>800</v>
      </c>
      <c r="B25" s="123">
        <f>'Initial Parameters'!G25</f>
        <v>4.9103320779999997</v>
      </c>
      <c r="C25" s="123">
        <f>'Initial Parameters'!H25</f>
        <v>2.1123592288966901</v>
      </c>
      <c r="D25" s="123">
        <f>('Absorption Area'!C15-'Absorption Area'!B15)/$C$10</f>
        <v>0.88675223151519156</v>
      </c>
    </row>
    <row r="26" spans="1:6" x14ac:dyDescent="0.2">
      <c r="A26" s="13">
        <v>1000</v>
      </c>
      <c r="B26" s="123">
        <f>'Initial Parameters'!G26</f>
        <v>4.8231498139999998</v>
      </c>
      <c r="C26" s="123">
        <f>'Initial Parameters'!H26</f>
        <v>1.9865323522312699</v>
      </c>
      <c r="D26" s="123">
        <f>('Absorption Area'!C16-'Absorption Area'!B16)/$C$10</f>
        <v>0.97332835501277659</v>
      </c>
    </row>
    <row r="27" spans="1:6" x14ac:dyDescent="0.2">
      <c r="A27" s="13">
        <v>1250</v>
      </c>
      <c r="B27" s="123">
        <f>'Initial Parameters'!G27</f>
        <v>4.7364994119999997</v>
      </c>
      <c r="C27" s="123">
        <f>'Initial Parameters'!H27</f>
        <v>1.94548757954165</v>
      </c>
      <c r="D27" s="123">
        <f>('Absorption Area'!C17-'Absorption Area'!B17)/$C$10</f>
        <v>0.99579888370151226</v>
      </c>
    </row>
    <row r="28" spans="1:6" x14ac:dyDescent="0.2">
      <c r="A28" s="13">
        <v>1600</v>
      </c>
      <c r="B28" s="123">
        <f>'Initial Parameters'!G28</f>
        <v>4.5177436450000004</v>
      </c>
      <c r="C28" s="123">
        <f>'Initial Parameters'!H28</f>
        <v>1.89120420399092</v>
      </c>
      <c r="D28" s="123">
        <f>('Absorption Area'!C18-'Absorption Area'!B18)/$C$10</f>
        <v>1.010724506520656</v>
      </c>
    </row>
    <row r="29" spans="1:6" x14ac:dyDescent="0.2">
      <c r="A29" s="13">
        <v>2000</v>
      </c>
      <c r="B29" s="123">
        <f>'Initial Parameters'!G29</f>
        <v>3.7432550340000001</v>
      </c>
      <c r="C29" s="123">
        <f>'Initial Parameters'!H29</f>
        <v>1.78641959380725</v>
      </c>
      <c r="D29" s="123">
        <f>('Absorption Area'!C19-'Absorption Area'!B19)/$C$10</f>
        <v>0.9621433321059113</v>
      </c>
    </row>
    <row r="30" spans="1:6" x14ac:dyDescent="0.2">
      <c r="A30" s="13">
        <v>2500</v>
      </c>
      <c r="B30" s="123">
        <f>'Initial Parameters'!G30</f>
        <v>3.4305157999999998</v>
      </c>
      <c r="C30" s="123">
        <f>'Initial Parameters'!H30</f>
        <v>1.7275117172524701</v>
      </c>
      <c r="D30" s="123">
        <f>('Absorption Area'!C20-'Absorption Area'!B20)/$C$10</f>
        <v>0.94485322707202946</v>
      </c>
    </row>
    <row r="31" spans="1:6" x14ac:dyDescent="0.2">
      <c r="A31" s="13">
        <v>3150</v>
      </c>
      <c r="B31" s="123">
        <f>'Initial Parameters'!G31</f>
        <v>2.8724516420000001</v>
      </c>
      <c r="C31" s="123">
        <f>'Initial Parameters'!H31</f>
        <v>1.62578605531623</v>
      </c>
      <c r="D31" s="123">
        <f>('Absorption Area'!C21-'Absorption Area'!B21)/$C$10</f>
        <v>0.87776101994964106</v>
      </c>
    </row>
    <row r="32" spans="1:6" x14ac:dyDescent="0.2">
      <c r="A32" s="50">
        <v>4000</v>
      </c>
      <c r="B32" s="54">
        <f>'Initial Parameters'!G32</f>
        <v>2.5327698249999999</v>
      </c>
      <c r="C32" s="54">
        <f>'Initial Parameters'!H32</f>
        <v>1.5169488289806801</v>
      </c>
      <c r="D32" s="54">
        <f>('Absorption Area'!C22-'Absorption Area'!B22)/$C$10</f>
        <v>0.8694264803924745</v>
      </c>
      <c r="F32" s="52"/>
    </row>
    <row r="33" spans="1:8" x14ac:dyDescent="0.2">
      <c r="A33" s="13">
        <v>5000</v>
      </c>
      <c r="B33" s="123">
        <f>'Initial Parameters'!G33</f>
        <v>2.2454059979999998</v>
      </c>
      <c r="C33" s="123">
        <f>'Initial Parameters'!H33</f>
        <v>1.42489001409366</v>
      </c>
      <c r="D33" s="123">
        <f>('Absorption Area'!C23-'Absorption Area'!B23)/$C$10</f>
        <v>0.84339610540297405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7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4">
        <v>125</v>
      </c>
      <c r="C38" s="124">
        <v>250</v>
      </c>
      <c r="D38" s="124">
        <v>500</v>
      </c>
      <c r="E38" s="124">
        <v>1000</v>
      </c>
      <c r="F38" s="124">
        <v>2000</v>
      </c>
      <c r="G38" s="124">
        <v>4000</v>
      </c>
    </row>
    <row r="39" spans="1:8" ht="15" customHeight="1" x14ac:dyDescent="0.2">
      <c r="A39" s="15" t="s">
        <v>84</v>
      </c>
      <c r="B39" s="123">
        <f>IF( ROUND(ROUND((D16+D17+D18)/3,2)/0.05, 0 )*0.05 &gt; 1, 1, ROUND(ROUND((D16+D17+D18)/3,2)/0.05, 0 )*0.05 )</f>
        <v>0.45</v>
      </c>
      <c r="C39" s="123">
        <f>IF( ROUND(ROUND((D19+D20+D21)/3,2)/0.05, 0 )*0.05 &gt; 1, 1, ROUND(ROUND((D19+D20+D21)/3,2)/0.05, 0 )*0.05 )</f>
        <v>0.70000000000000007</v>
      </c>
      <c r="D39" s="123">
        <f>IF( ROUND(ROUND((SUM(D22:D24))/3,2)/0.05, 0 )*0.05 &gt; 1, 1, ROUND(ROUND((SUM(D22:D24))/3,2)/0.05, 0 )*0.05 )</f>
        <v>0.75</v>
      </c>
      <c r="E39" s="123">
        <f>IF( ROUND(ROUND((SUM(D25:D27))/3,2)/0.05, 0 )*0.05 &gt; 1, 1, ROUND(ROUND((SUM(D25:D27))/3,2)/0.05, 0 )*0.05 )</f>
        <v>0.95000000000000007</v>
      </c>
      <c r="F39" s="123">
        <f>IF( ROUND(ROUND((SUM(D28:D30))/3,2)/0.05, 0 )*0.05 &gt; 1, 1, ROUND(ROUND((SUM(D28:D30))/3,2)/0.05, 0 )*0.05 )</f>
        <v>0.95000000000000007</v>
      </c>
      <c r="G39" s="123">
        <f>IF( ROUND(ROUND((SUM(D31:D33))/3,2)/0.05, 0 )*0.05 &gt; 1, 1, ROUND(ROUND((SUM(D31:D33))/3,2)/0.05, 0 )*0.05 )</f>
        <v>0.85000000000000009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45" t="s">
        <v>86</v>
      </c>
      <c r="B43" s="127"/>
      <c r="C43" s="142">
        <f>'Background calcs'!Q3</f>
        <v>0.85</v>
      </c>
      <c r="D43" s="127"/>
    </row>
    <row r="44" spans="1:8" ht="15" customHeight="1" x14ac:dyDescent="0.25">
      <c r="A44" s="76" t="s">
        <v>87</v>
      </c>
      <c r="B44" s="74"/>
      <c r="C44" s="143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88</v>
      </c>
      <c r="B45" s="74"/>
      <c r="C45" s="144" t="str">
        <f>IF( 'Output for Report'!C43&gt;=0.9, "A", IF( 'Output for Report'!C43&gt;=0.8, "B", IF( 'Output for Report'!C43&gt;=0.6, "C", IF( 'Output for Report'!C43&gt;=0.3, "D", IF( 'Output for Report'!C43&gt;=0.1, "E", "Not Classifiable" ) ) ) ) )</f>
        <v>B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46" t="s">
        <v>89</v>
      </c>
      <c r="B48" s="141"/>
      <c r="C48" s="141"/>
      <c r="D48" s="141"/>
    </row>
    <row r="49" spans="1:8" ht="15" customHeight="1" x14ac:dyDescent="0.25">
      <c r="A49" s="76" t="s">
        <v>90</v>
      </c>
      <c r="B49" s="142">
        <f>ROUND((D20+D23+D26+D29)/(4*0.05),0)*0.05</f>
        <v>0.85000000000000009</v>
      </c>
      <c r="C49" s="127"/>
      <c r="F49" s="13" t="s">
        <v>91</v>
      </c>
      <c r="G49" s="84">
        <f>(D20+D23+D26+D29)/4</f>
        <v>0.84889194637856658</v>
      </c>
    </row>
    <row r="50" spans="1:8" ht="15" customHeight="1" x14ac:dyDescent="0.25">
      <c r="A50" s="74" t="s">
        <v>92</v>
      </c>
      <c r="B50" s="142">
        <f>AVERAGE(D23:D33)</f>
        <v>0.89624160166069367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0" t="s">
        <v>94</v>
      </c>
      <c r="G79" s="141"/>
      <c r="H79" s="141"/>
    </row>
  </sheetData>
  <mergeCells count="34"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F79:H79"/>
    <mergeCell ref="B49:C49"/>
    <mergeCell ref="B50:C50"/>
    <mergeCell ref="C43:D43"/>
    <mergeCell ref="C44:D44"/>
    <mergeCell ref="C45:D45"/>
    <mergeCell ref="A43:B43"/>
    <mergeCell ref="A48:D4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6.7804596630353782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6.7867825330310438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6.5818180444843701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5.577586852302252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5.7447210124869068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5.0710275856901719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5.3345023920184973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5.8719723252444664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6.2547213711672374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6.400321929340949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6.5166406648160526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6.6310884436346109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6.9589434737220053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8.5291829264875574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9.3161504194873235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11.197149677393753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12.64931722196288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14.142617431311248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0.85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0.49999999999999978</v>
      </c>
      <c r="H5" s="2"/>
      <c r="I5" s="2">
        <f>IF(B5-'Output for Report'!C$39&gt;0,B5-'Output for Report'!C$39,0)</f>
        <v>9.9999999999999978E-2</v>
      </c>
      <c r="J5" s="2">
        <f>IF(C5-'Output for Report'!D$39&gt;0,C5-'Output for Report'!D$39,0)</f>
        <v>0.25</v>
      </c>
      <c r="K5" s="2">
        <f>IF(D5-'Output for Report'!E$39&gt;0,D5-'Output for Report'!E$39,0)</f>
        <v>4.9999999999999933E-2</v>
      </c>
      <c r="L5" s="2">
        <f>IF(E5-'Output for Report'!F$39&gt;0,E5-'Output for Report'!F$39,0)</f>
        <v>4.9999999999999933E-2</v>
      </c>
      <c r="M5" s="2">
        <f>IF(F5-'Output for Report'!G$39&gt;0,F5-'Output for Report'!G$39,0)</f>
        <v>4.9999999999999933E-2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0.24999999999999956</v>
      </c>
      <c r="H6" s="2"/>
      <c r="I6" s="2">
        <f>IF(B6-'Output for Report'!C$39&gt;0,B6-'Output for Report'!C$39,0)</f>
        <v>4.9999999999999933E-2</v>
      </c>
      <c r="J6" s="2">
        <f>IF(C6-'Output for Report'!D$39&gt;0,C6-'Output for Report'!D$39,0)</f>
        <v>0.19999999999999996</v>
      </c>
      <c r="K6" s="2">
        <f>IF(D6-'Output for Report'!E$39&gt;0,D6-'Output for Report'!E$39,0)</f>
        <v>0</v>
      </c>
      <c r="L6" s="2">
        <f>IF(E6-'Output for Report'!F$39&gt;0,E6-'Output for Report'!F$39,0)</f>
        <v>0</v>
      </c>
      <c r="M6" s="2">
        <f>IF(F6-'Output for Report'!G$39&gt;0,F6-'Output for Report'!G$39,0)</f>
        <v>0</v>
      </c>
      <c r="N6" s="2">
        <f t="shared" si="0"/>
        <v>0.05</v>
      </c>
      <c r="P6" t="s">
        <v>102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0</v>
      </c>
      <c r="H7" s="2"/>
      <c r="I7" s="2">
        <f>IF(B7-'Output for Report'!C$39&gt;0,B7-'Output for Report'!C$39,0)</f>
        <v>0</v>
      </c>
      <c r="J7" s="2">
        <f>IF(C7-'Output for Report'!D$39&gt;0,C7-'Output for Report'!D$39,0)</f>
        <v>0.14999999999999991</v>
      </c>
      <c r="K7" s="2">
        <f>IF(D7-'Output for Report'!E$39&gt;0,D7-'Output for Report'!E$39,0)</f>
        <v>0</v>
      </c>
      <c r="L7" s="2">
        <f>IF(E7-'Output for Report'!F$39&gt;0,E7-'Output for Report'!F$39,0)</f>
        <v>0</v>
      </c>
      <c r="M7" s="2">
        <f>IF(F7-'Output for Report'!G$39&gt;0,F7-'Output for Report'!G$39,0)</f>
        <v>0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-0.25000000000000089</v>
      </c>
      <c r="H8" s="2"/>
      <c r="I8" s="2">
        <f>IF(B8-'Output for Report'!C$39&gt;0,B8-'Output for Report'!C$39,0)</f>
        <v>0</v>
      </c>
      <c r="J8" s="2">
        <f>IF(C8-'Output for Report'!D$39&gt;0,C8-'Output for Report'!D$39,0)</f>
        <v>9.9999999999999867E-2</v>
      </c>
      <c r="K8" s="2">
        <f>IF(D8-'Output for Report'!E$39&gt;0,D8-'Output for Report'!E$39,0)</f>
        <v>0</v>
      </c>
      <c r="L8" s="2">
        <f>IF(E8-'Output for Report'!F$39&gt;0,E8-'Output for Report'!F$39,0)</f>
        <v>0</v>
      </c>
      <c r="M8" s="2">
        <f>IF(F8-'Output for Report'!G$39&gt;0,F8-'Output for Report'!G$39,0)</f>
        <v>0</v>
      </c>
      <c r="N8" s="2">
        <f t="shared" si="0"/>
        <v>0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-0.50000000000000111</v>
      </c>
      <c r="H9" s="2"/>
      <c r="I9" s="2">
        <f>IF(B9-'Output for Report'!C$39&gt;0,B9-'Output for Report'!C$39,0)</f>
        <v>0</v>
      </c>
      <c r="J9" s="2">
        <f>IF(C9-'Output for Report'!D$39&gt;0,C9-'Output for Report'!D$39,0)</f>
        <v>4.9999999999999822E-2</v>
      </c>
      <c r="K9" s="2">
        <f>IF(D9-'Output for Report'!E$39&gt;0,D9-'Output for Report'!E$39,0)</f>
        <v>0</v>
      </c>
      <c r="L9" s="2">
        <f>IF(E9-'Output for Report'!F$39&gt;0,E9-'Output for Report'!F$39,0)</f>
        <v>0</v>
      </c>
      <c r="M9" s="2">
        <f>IF(F9-'Output for Report'!G$39&gt;0,F9-'Output for Report'!G$39,0)</f>
        <v>0</v>
      </c>
      <c r="N9" s="2">
        <f t="shared" si="0"/>
        <v>0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-0.75000000000000133</v>
      </c>
      <c r="H10" s="2"/>
      <c r="I10" s="2">
        <f>IF(B10-'Output for Report'!C$39&gt;0,B10-'Output for Report'!C$39,0)</f>
        <v>0</v>
      </c>
      <c r="J10" s="2">
        <f>IF(C10-'Output for Report'!D$39&gt;0,C10-'Output for Report'!D$39,0)</f>
        <v>0</v>
      </c>
      <c r="K10" s="2">
        <f>IF(D10-'Output for Report'!E$39&gt;0,D10-'Output for Report'!E$39,0)</f>
        <v>0</v>
      </c>
      <c r="L10" s="2">
        <f>IF(E10-'Output for Report'!F$39&gt;0,E10-'Output for Report'!F$39,0)</f>
        <v>0</v>
      </c>
      <c r="M10" s="2">
        <f>IF(F10-'Output for Report'!G$39&gt;0,F10-'Output for Report'!G$39,0)</f>
        <v>0</v>
      </c>
      <c r="N10" s="2">
        <f t="shared" si="0"/>
        <v>0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-1.0000000000000016</v>
      </c>
      <c r="H11" s="2"/>
      <c r="I11" s="2">
        <f>IF(B11-'Output for Report'!C$39&gt;0,B11-'Output for Report'!C$39,0)</f>
        <v>0</v>
      </c>
      <c r="J11" s="2">
        <f>IF(C11-'Output for Report'!D$39&gt;0,C11-'Output for Report'!D$39,0)</f>
        <v>0</v>
      </c>
      <c r="K11" s="2">
        <f>IF(D11-'Output for Report'!E$39&gt;0,D11-'Output for Report'!E$39,0)</f>
        <v>0</v>
      </c>
      <c r="L11" s="2">
        <f>IF(E11-'Output for Report'!F$39&gt;0,E11-'Output for Report'!F$39,0)</f>
        <v>0</v>
      </c>
      <c r="M11" s="2">
        <f>IF(F11-'Output for Report'!G$39&gt;0,F11-'Output for Report'!G$39,0)</f>
        <v>0</v>
      </c>
      <c r="N11" s="2">
        <f t="shared" si="0"/>
        <v>0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-1.2500000000000018</v>
      </c>
      <c r="H12" s="2"/>
      <c r="I12" s="2">
        <f>IF(B12-'Output for Report'!C$39&gt;0,B12-'Output for Report'!C$39,0)</f>
        <v>0</v>
      </c>
      <c r="J12" s="2">
        <f>IF(C12-'Output for Report'!D$39&gt;0,C12-'Output for Report'!D$39,0)</f>
        <v>0</v>
      </c>
      <c r="K12" s="2">
        <f>IF(D12-'Output for Report'!E$39&gt;0,D12-'Output for Report'!E$39,0)</f>
        <v>0</v>
      </c>
      <c r="L12" s="2">
        <f>IF(E12-'Output for Report'!F$39&gt;0,E12-'Output for Report'!F$39,0)</f>
        <v>0</v>
      </c>
      <c r="M12" s="2">
        <f>IF(F12-'Output for Report'!G$39&gt;0,F12-'Output for Report'!G$39,0)</f>
        <v>0</v>
      </c>
      <c r="N12" s="2">
        <f t="shared" si="0"/>
        <v>0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-1.5000000000000016</v>
      </c>
      <c r="H13" s="2"/>
      <c r="I13" s="2">
        <f>IF(B13-'Output for Report'!C$39&gt;0,B13-'Output for Report'!C$39,0)</f>
        <v>0</v>
      </c>
      <c r="J13" s="2">
        <f>IF(C13-'Output for Report'!D$39&gt;0,C13-'Output for Report'!D$39,0)</f>
        <v>0</v>
      </c>
      <c r="K13" s="2">
        <f>IF(D13-'Output for Report'!E$39&gt;0,D13-'Output for Report'!E$39,0)</f>
        <v>0</v>
      </c>
      <c r="L13" s="2">
        <f>IF(E13-'Output for Report'!F$39&gt;0,E13-'Output for Report'!F$39,0)</f>
        <v>0</v>
      </c>
      <c r="M13" s="2">
        <f>IF(F13-'Output for Report'!G$39&gt;0,F13-'Output for Report'!G$39,0)</f>
        <v>0</v>
      </c>
      <c r="N13" s="2">
        <f t="shared" si="0"/>
        <v>0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-1.7500000000000018</v>
      </c>
      <c r="H14" s="2"/>
      <c r="I14" s="2">
        <f>IF(B14-'Output for Report'!C$39&gt;0,B14-'Output for Report'!C$39,0)</f>
        <v>0</v>
      </c>
      <c r="J14" s="2">
        <f>IF(C14-'Output for Report'!D$39&gt;0,C14-'Output for Report'!D$39,0)</f>
        <v>0</v>
      </c>
      <c r="K14" s="2">
        <f>IF(D14-'Output for Report'!E$39&gt;0,D14-'Output for Report'!E$39,0)</f>
        <v>0</v>
      </c>
      <c r="L14" s="2">
        <f>IF(E14-'Output for Report'!F$39&gt;0,E14-'Output for Report'!F$39,0)</f>
        <v>0</v>
      </c>
      <c r="M14" s="2">
        <f>IF(F14-'Output for Report'!G$39&gt;0,F14-'Output for Report'!G$39,0)</f>
        <v>0</v>
      </c>
      <c r="N14" s="2">
        <f t="shared" si="0"/>
        <v>0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-2.0000000000000018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</v>
      </c>
      <c r="K15" s="2">
        <f>IF(D15-'Output for Report'!E$39&gt;0,D15-'Output for Report'!E$39,0)</f>
        <v>0</v>
      </c>
      <c r="L15" s="2">
        <f>IF(E15-'Output for Report'!F$39&gt;0,E15-'Output for Report'!F$39,0)</f>
        <v>0</v>
      </c>
      <c r="M15" s="2">
        <f>IF(F15-'Output for Report'!G$39&gt;0,F15-'Output for Report'!G$39,0)</f>
        <v>0</v>
      </c>
      <c r="N15" s="2">
        <f t="shared" si="0"/>
        <v>0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-2.2500000000000018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</v>
      </c>
      <c r="K16" s="2">
        <f>IF(D16-'Output for Report'!E$39&gt;0,D16-'Output for Report'!E$39,0)</f>
        <v>0</v>
      </c>
      <c r="L16" s="2">
        <f>IF(E16-'Output for Report'!F$39&gt;0,E16-'Output for Report'!F$39,0)</f>
        <v>0</v>
      </c>
      <c r="M16" s="2">
        <f>IF(F16-'Output for Report'!G$39&gt;0,F16-'Output for Report'!G$39,0)</f>
        <v>0</v>
      </c>
      <c r="N16" s="2">
        <f t="shared" si="0"/>
        <v>0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-2.5000000000000018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</v>
      </c>
      <c r="K17" s="2">
        <f>IF(D17-'Output for Report'!E$39&gt;0,D17-'Output for Report'!E$39,0)</f>
        <v>0</v>
      </c>
      <c r="L17" s="2">
        <f>IF(E17-'Output for Report'!F$39&gt;0,E17-'Output for Report'!F$39,0)</f>
        <v>0</v>
      </c>
      <c r="M17" s="2">
        <f>IF(F17-'Output for Report'!G$39&gt;0,F17-'Output for Report'!G$39,0)</f>
        <v>0</v>
      </c>
      <c r="N17" s="2">
        <f t="shared" si="0"/>
        <v>0</v>
      </c>
      <c r="Q17">
        <f t="shared" si="12"/>
        <v>0.84999999999999987</v>
      </c>
      <c r="R17">
        <f t="shared" si="7"/>
        <v>0.64999999999999991</v>
      </c>
      <c r="S17">
        <f t="shared" si="8"/>
        <v>0.84999999999999987</v>
      </c>
      <c r="T17">
        <f t="shared" si="9"/>
        <v>0.84999999999999987</v>
      </c>
      <c r="U17">
        <f t="shared" si="10"/>
        <v>0.84999999999999987</v>
      </c>
      <c r="V17">
        <f t="shared" si="11"/>
        <v>0.74999999999999989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-2.7500000000000018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</v>
      </c>
      <c r="K18" s="2">
        <f>IF(D18-'Output for Report'!E$39&gt;0,D18-'Output for Report'!E$39,0)</f>
        <v>0</v>
      </c>
      <c r="L18" s="2">
        <f>IF(E18-'Output for Report'!F$39&gt;0,E18-'Output for Report'!F$39,0)</f>
        <v>0</v>
      </c>
      <c r="M18" s="2">
        <f>IF(F18-'Output for Report'!G$39&gt;0,F18-'Output for Report'!G$39,0)</f>
        <v>0</v>
      </c>
      <c r="N18" s="2">
        <f t="shared" si="0"/>
        <v>0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-3.0000000000000018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</v>
      </c>
      <c r="K19" s="2">
        <f>IF(D19-'Output for Report'!E$39&gt;0,D19-'Output for Report'!E$39,0)</f>
        <v>0</v>
      </c>
      <c r="L19" s="2">
        <f>IF(E19-'Output for Report'!F$39&gt;0,E19-'Output for Report'!F$39,0)</f>
        <v>0</v>
      </c>
      <c r="M19" s="2">
        <f>IF(F19-'Output for Report'!G$39&gt;0,F19-'Output for Report'!G$39,0)</f>
        <v>0</v>
      </c>
      <c r="N19" s="2">
        <f t="shared" si="0"/>
        <v>0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0.64999999999999991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0.71666666666666656</v>
      </c>
    </row>
    <row r="30" spans="1:22" x14ac:dyDescent="0.25">
      <c r="N30">
        <v>400</v>
      </c>
      <c r="O30">
        <f>(O31-O28)/3+O29</f>
        <v>0.78333333333333321</v>
      </c>
    </row>
    <row r="31" spans="1:22" x14ac:dyDescent="0.25">
      <c r="N31">
        <v>500</v>
      </c>
      <c r="O31">
        <f>SUM(S14:S28)</f>
        <v>0.84999999999999987</v>
      </c>
    </row>
    <row r="32" spans="1:22" x14ac:dyDescent="0.25">
      <c r="N32">
        <v>630</v>
      </c>
      <c r="O32">
        <f>O31</f>
        <v>0.84999999999999987</v>
      </c>
    </row>
    <row r="33" spans="14:15" x14ac:dyDescent="0.25">
      <c r="N33">
        <v>800</v>
      </c>
      <c r="O33">
        <f>O32</f>
        <v>0.84999999999999987</v>
      </c>
    </row>
    <row r="34" spans="14:15" x14ac:dyDescent="0.25">
      <c r="N34">
        <v>1000</v>
      </c>
      <c r="O34">
        <f>SUM(T14:T28)</f>
        <v>0.84999999999999987</v>
      </c>
    </row>
    <row r="35" spans="14:15" x14ac:dyDescent="0.25">
      <c r="N35">
        <v>1250</v>
      </c>
      <c r="O35">
        <f>O34</f>
        <v>0.84999999999999987</v>
      </c>
    </row>
    <row r="36" spans="14:15" x14ac:dyDescent="0.25">
      <c r="N36">
        <v>1600</v>
      </c>
      <c r="O36">
        <f>O35</f>
        <v>0.84999999999999987</v>
      </c>
    </row>
    <row r="37" spans="14:15" x14ac:dyDescent="0.25">
      <c r="N37">
        <v>2000</v>
      </c>
      <c r="O37">
        <f>SUM(U14:U28)</f>
        <v>0.84999999999999987</v>
      </c>
    </row>
    <row r="38" spans="14:15" x14ac:dyDescent="0.25">
      <c r="N38">
        <v>2500</v>
      </c>
      <c r="O38">
        <f>O37-($O$37-$O$40)/3</f>
        <v>0.81666666666666654</v>
      </c>
    </row>
    <row r="39" spans="14:15" x14ac:dyDescent="0.25">
      <c r="N39">
        <v>3150</v>
      </c>
      <c r="O39">
        <f>O38-($O$37-$O$40)/3</f>
        <v>0.78333333333333321</v>
      </c>
    </row>
    <row r="40" spans="14:15" x14ac:dyDescent="0.25">
      <c r="N40">
        <v>4000</v>
      </c>
      <c r="O40">
        <f>SUM(V14:V28)</f>
        <v>0.74999999999999989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Lewis White</cp:lastModifiedBy>
  <cp:lastPrinted>2020-04-15T03:07:29Z</cp:lastPrinted>
  <dcterms:created xsi:type="dcterms:W3CDTF">2010-07-19T03:02:48Z</dcterms:created>
  <dcterms:modified xsi:type="dcterms:W3CDTF">2021-05-10T00:53:28Z</dcterms:modified>
</cp:coreProperties>
</file>