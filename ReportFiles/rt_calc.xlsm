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tin Hales\Documents\Python Scripts\lewis-reverb-interface\ReportFiles\"/>
    </mc:Choice>
  </mc:AlternateContent>
  <xr:revisionPtr revIDLastSave="0" documentId="13_ncr:1_{076EA3EC-588F-4B5F-8BD4-3B9F835F8E26}" xr6:coauthVersionLast="47" xr6:coauthVersionMax="47" xr10:uidLastSave="{00000000-0000-0000-0000-000000000000}"/>
  <bookViews>
    <workbookView xWindow="1170" yWindow="1170" windowWidth="21600" windowHeight="11385" firstSheet="2" activeTab="3" xr2:uid="{00000000-000D-0000-FFFF-FFFF00000000}"/>
  </bookViews>
  <sheets>
    <sheet name="T1 Empty Room" sheetId="1" r:id="rId1"/>
    <sheet name="T2 With Sample" sheetId="2" r:id="rId2"/>
    <sheet name="Initial Parameters" sheetId="3" r:id="rId3"/>
    <sheet name="Output for Report" sheetId="4" r:id="rId4"/>
    <sheet name="Absorption Area" sheetId="5" r:id="rId5"/>
    <sheet name="Background calcs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5" i="6" l="1"/>
  <c r="Q16" i="6" s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7" i="6"/>
  <c r="F7" i="6"/>
  <c r="F6" i="6"/>
  <c r="E6" i="6"/>
  <c r="E7" i="6" s="1"/>
  <c r="D6" i="6"/>
  <c r="C6" i="6"/>
  <c r="C7" i="6" s="1"/>
  <c r="B6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B32" i="4"/>
  <c r="C21" i="4"/>
  <c r="C17" i="4"/>
  <c r="B16" i="4"/>
  <c r="C14" i="4"/>
  <c r="C10" i="4"/>
  <c r="K33" i="3"/>
  <c r="K32" i="3"/>
  <c r="H32" i="3"/>
  <c r="C32" i="4" s="1"/>
  <c r="K31" i="3"/>
  <c r="K30" i="3"/>
  <c r="K29" i="3"/>
  <c r="K28" i="3"/>
  <c r="H28" i="3"/>
  <c r="C28" i="4" s="1"/>
  <c r="K27" i="3"/>
  <c r="K26" i="3"/>
  <c r="K25" i="3"/>
  <c r="K24" i="3"/>
  <c r="H24" i="3"/>
  <c r="C24" i="4" s="1"/>
  <c r="K23" i="3"/>
  <c r="K22" i="3"/>
  <c r="K21" i="3"/>
  <c r="G21" i="3"/>
  <c r="B21" i="4" s="1"/>
  <c r="K20" i="3"/>
  <c r="H20" i="3"/>
  <c r="C20" i="4" s="1"/>
  <c r="K19" i="3"/>
  <c r="K18" i="3"/>
  <c r="K17" i="3"/>
  <c r="K16" i="3"/>
  <c r="H16" i="3"/>
  <c r="C16" i="4" s="1"/>
  <c r="E4" i="3"/>
  <c r="D4" i="3"/>
  <c r="D10" i="3" s="1"/>
  <c r="D11" i="3" s="1"/>
  <c r="C4" i="3"/>
  <c r="E3" i="3"/>
  <c r="I11" i="4" s="1"/>
  <c r="D3" i="3"/>
  <c r="I10" i="4" s="1"/>
  <c r="C3" i="3"/>
  <c r="B27" i="2"/>
  <c r="H33" i="3" s="1"/>
  <c r="C33" i="4" s="1"/>
  <c r="B26" i="2"/>
  <c r="B25" i="2"/>
  <c r="H31" i="3" s="1"/>
  <c r="C31" i="4" s="1"/>
  <c r="B24" i="2"/>
  <c r="H30" i="3" s="1"/>
  <c r="C30" i="4" s="1"/>
  <c r="B23" i="2"/>
  <c r="H29" i="3" s="1"/>
  <c r="C29" i="4" s="1"/>
  <c r="B22" i="2"/>
  <c r="B21" i="2"/>
  <c r="H27" i="3" s="1"/>
  <c r="C27" i="4" s="1"/>
  <c r="B20" i="2"/>
  <c r="H26" i="3" s="1"/>
  <c r="C26" i="4" s="1"/>
  <c r="B19" i="2"/>
  <c r="H25" i="3" s="1"/>
  <c r="C25" i="4" s="1"/>
  <c r="B18" i="2"/>
  <c r="B17" i="2"/>
  <c r="H23" i="3" s="1"/>
  <c r="C23" i="4" s="1"/>
  <c r="B16" i="2"/>
  <c r="H22" i="3" s="1"/>
  <c r="C22" i="4" s="1"/>
  <c r="B15" i="2"/>
  <c r="H21" i="3" s="1"/>
  <c r="B14" i="2"/>
  <c r="B13" i="2"/>
  <c r="H19" i="3" s="1"/>
  <c r="C19" i="4" s="1"/>
  <c r="B12" i="2"/>
  <c r="H18" i="3" s="1"/>
  <c r="C18" i="4" s="1"/>
  <c r="B11" i="2"/>
  <c r="H17" i="3" s="1"/>
  <c r="B10" i="2"/>
  <c r="L37" i="1"/>
  <c r="G33" i="3" s="1"/>
  <c r="B33" i="4" s="1"/>
  <c r="L36" i="1"/>
  <c r="G32" i="3" s="1"/>
  <c r="L35" i="1"/>
  <c r="G31" i="3" s="1"/>
  <c r="B31" i="4" s="1"/>
  <c r="L34" i="1"/>
  <c r="G30" i="3" s="1"/>
  <c r="B30" i="4" s="1"/>
  <c r="L33" i="1"/>
  <c r="G29" i="3" s="1"/>
  <c r="B29" i="4" s="1"/>
  <c r="L32" i="1"/>
  <c r="G28" i="3" s="1"/>
  <c r="B28" i="4" s="1"/>
  <c r="L31" i="1"/>
  <c r="G27" i="3" s="1"/>
  <c r="B27" i="4" s="1"/>
  <c r="L30" i="1"/>
  <c r="G26" i="3" s="1"/>
  <c r="B26" i="4" s="1"/>
  <c r="L29" i="1"/>
  <c r="G25" i="3" s="1"/>
  <c r="B25" i="4" s="1"/>
  <c r="L28" i="1"/>
  <c r="G24" i="3" s="1"/>
  <c r="B24" i="4" s="1"/>
  <c r="L27" i="1"/>
  <c r="G23" i="3" s="1"/>
  <c r="B23" i="4" s="1"/>
  <c r="L26" i="1"/>
  <c r="G22" i="3" s="1"/>
  <c r="B22" i="4" s="1"/>
  <c r="L25" i="1"/>
  <c r="L24" i="1"/>
  <c r="G20" i="3" s="1"/>
  <c r="B20" i="4" s="1"/>
  <c r="L23" i="1"/>
  <c r="G19" i="3" s="1"/>
  <c r="B19" i="4" s="1"/>
  <c r="L22" i="1"/>
  <c r="G18" i="3" s="1"/>
  <c r="B18" i="4" s="1"/>
  <c r="L21" i="1"/>
  <c r="G17" i="3" s="1"/>
  <c r="B17" i="4" s="1"/>
  <c r="L20" i="1"/>
  <c r="G16" i="3" s="1"/>
  <c r="I9" i="4" l="1"/>
  <c r="C9" i="3"/>
  <c r="C10" i="3"/>
  <c r="C12" i="3"/>
  <c r="C30" i="3" s="1"/>
  <c r="E30" i="3" s="1"/>
  <c r="D12" i="3"/>
  <c r="D21" i="3" s="1"/>
  <c r="F21" i="3" s="1"/>
  <c r="C8" i="6"/>
  <c r="F8" i="6"/>
  <c r="C11" i="3"/>
  <c r="C31" i="3" s="1"/>
  <c r="E31" i="3" s="1"/>
  <c r="D7" i="6"/>
  <c r="D9" i="3"/>
  <c r="E8" i="6"/>
  <c r="B7" i="6"/>
  <c r="D30" i="3" l="1"/>
  <c r="F30" i="3" s="1"/>
  <c r="C22" i="3"/>
  <c r="E22" i="3" s="1"/>
  <c r="I22" i="3" s="1"/>
  <c r="D22" i="3"/>
  <c r="F22" i="3" s="1"/>
  <c r="J29" i="3"/>
  <c r="C19" i="5" s="1"/>
  <c r="J23" i="3"/>
  <c r="C13" i="5" s="1"/>
  <c r="J21" i="3"/>
  <c r="C11" i="5" s="1"/>
  <c r="J32" i="3"/>
  <c r="C22" i="5" s="1"/>
  <c r="J30" i="3"/>
  <c r="C20" i="5" s="1"/>
  <c r="J22" i="3"/>
  <c r="C12" i="5" s="1"/>
  <c r="J16" i="3"/>
  <c r="C6" i="5" s="1"/>
  <c r="D27" i="3"/>
  <c r="F27" i="3" s="1"/>
  <c r="J27" i="3" s="1"/>
  <c r="C17" i="5" s="1"/>
  <c r="D19" i="3"/>
  <c r="F19" i="3" s="1"/>
  <c r="J19" i="3" s="1"/>
  <c r="C9" i="5" s="1"/>
  <c r="C27" i="3"/>
  <c r="E27" i="3" s="1"/>
  <c r="C23" i="3"/>
  <c r="E23" i="3" s="1"/>
  <c r="I23" i="3" s="1"/>
  <c r="D33" i="3"/>
  <c r="F33" i="3" s="1"/>
  <c r="J33" i="3" s="1"/>
  <c r="C23" i="5" s="1"/>
  <c r="C25" i="3"/>
  <c r="E25" i="3" s="1"/>
  <c r="B8" i="6"/>
  <c r="D28" i="3"/>
  <c r="F28" i="3" s="1"/>
  <c r="J28" i="3" s="1"/>
  <c r="C18" i="5" s="1"/>
  <c r="D20" i="3"/>
  <c r="F20" i="3" s="1"/>
  <c r="J20" i="3" s="1"/>
  <c r="C10" i="5" s="1"/>
  <c r="C28" i="3"/>
  <c r="E28" i="3" s="1"/>
  <c r="I28" i="3" s="1"/>
  <c r="C20" i="3"/>
  <c r="E20" i="3" s="1"/>
  <c r="I20" i="3" s="1"/>
  <c r="C9" i="6"/>
  <c r="D25" i="3"/>
  <c r="F25" i="3" s="1"/>
  <c r="J25" i="3" s="1"/>
  <c r="C15" i="5" s="1"/>
  <c r="D17" i="3"/>
  <c r="F17" i="3" s="1"/>
  <c r="J17" i="3" s="1"/>
  <c r="C7" i="5" s="1"/>
  <c r="C29" i="3"/>
  <c r="E29" i="3" s="1"/>
  <c r="D32" i="3"/>
  <c r="F32" i="3" s="1"/>
  <c r="C19" i="3"/>
  <c r="E19" i="3" s="1"/>
  <c r="C21" i="3"/>
  <c r="E21" i="3" s="1"/>
  <c r="I21" i="3" s="1"/>
  <c r="D26" i="3"/>
  <c r="F26" i="3" s="1"/>
  <c r="J26" i="3" s="1"/>
  <c r="C16" i="5" s="1"/>
  <c r="D18" i="3"/>
  <c r="F18" i="3" s="1"/>
  <c r="J18" i="3" s="1"/>
  <c r="C8" i="5" s="1"/>
  <c r="D8" i="6"/>
  <c r="C26" i="3"/>
  <c r="E26" i="3" s="1"/>
  <c r="C18" i="3"/>
  <c r="E18" i="3" s="1"/>
  <c r="F9" i="6"/>
  <c r="D31" i="3"/>
  <c r="F31" i="3" s="1"/>
  <c r="J31" i="3" s="1"/>
  <c r="C21" i="5" s="1"/>
  <c r="D23" i="3"/>
  <c r="F23" i="3" s="1"/>
  <c r="E9" i="6"/>
  <c r="D24" i="3"/>
  <c r="F24" i="3" s="1"/>
  <c r="J24" i="3" s="1"/>
  <c r="C14" i="5" s="1"/>
  <c r="D16" i="3"/>
  <c r="F16" i="3" s="1"/>
  <c r="C32" i="3"/>
  <c r="E32" i="3" s="1"/>
  <c r="I32" i="3" s="1"/>
  <c r="C24" i="3"/>
  <c r="E24" i="3" s="1"/>
  <c r="I24" i="3" s="1"/>
  <c r="C16" i="3"/>
  <c r="E16" i="3" s="1"/>
  <c r="D29" i="3"/>
  <c r="F29" i="3" s="1"/>
  <c r="C33" i="3"/>
  <c r="E33" i="3" s="1"/>
  <c r="I33" i="3" s="1"/>
  <c r="C17" i="3"/>
  <c r="E17" i="3" s="1"/>
  <c r="I17" i="3" s="1"/>
  <c r="I31" i="3"/>
  <c r="I29" i="3"/>
  <c r="I27" i="3"/>
  <c r="I25" i="3"/>
  <c r="I19" i="3"/>
  <c r="I18" i="3"/>
  <c r="I30" i="3"/>
  <c r="I26" i="3"/>
  <c r="I16" i="3"/>
  <c r="B23" i="5" l="1"/>
  <c r="D33" i="4" s="1"/>
  <c r="L33" i="3"/>
  <c r="M37" i="1" s="1"/>
  <c r="B13" i="5"/>
  <c r="L23" i="3"/>
  <c r="M27" i="1" s="1"/>
  <c r="B12" i="5"/>
  <c r="L22" i="3"/>
  <c r="M26" i="1" s="1"/>
  <c r="L32" i="3"/>
  <c r="M36" i="1" s="1"/>
  <c r="B22" i="5"/>
  <c r="D32" i="4" s="1"/>
  <c r="B11" i="5"/>
  <c r="L21" i="3"/>
  <c r="M25" i="1" s="1"/>
  <c r="L28" i="3"/>
  <c r="M32" i="1" s="1"/>
  <c r="B18" i="5"/>
  <c r="D28" i="4" s="1"/>
  <c r="F39" i="4" s="1"/>
  <c r="B7" i="5"/>
  <c r="D17" i="4" s="1"/>
  <c r="L17" i="3"/>
  <c r="M21" i="1" s="1"/>
  <c r="L24" i="3"/>
  <c r="M28" i="1" s="1"/>
  <c r="B14" i="5"/>
  <c r="D24" i="4" s="1"/>
  <c r="L20" i="3"/>
  <c r="M24" i="1" s="1"/>
  <c r="B10" i="5"/>
  <c r="D20" i="4" s="1"/>
  <c r="D22" i="4"/>
  <c r="D21" i="4"/>
  <c r="L26" i="3"/>
  <c r="M30" i="1" s="1"/>
  <c r="B16" i="5"/>
  <c r="D26" i="4" s="1"/>
  <c r="L18" i="3"/>
  <c r="M22" i="1" s="1"/>
  <c r="B8" i="5"/>
  <c r="D18" i="4" s="1"/>
  <c r="B19" i="5"/>
  <c r="L29" i="3"/>
  <c r="M33" i="1" s="1"/>
  <c r="D23" i="4"/>
  <c r="B21" i="5"/>
  <c r="D31" i="4" s="1"/>
  <c r="G39" i="4" s="1"/>
  <c r="L31" i="3"/>
  <c r="M35" i="1" s="1"/>
  <c r="B9" i="6"/>
  <c r="F10" i="6"/>
  <c r="B15" i="5"/>
  <c r="D25" i="4" s="1"/>
  <c r="E39" i="4" s="1"/>
  <c r="L25" i="3"/>
  <c r="M29" i="1" s="1"/>
  <c r="C10" i="6"/>
  <c r="L16" i="3"/>
  <c r="B6" i="5"/>
  <c r="D16" i="4" s="1"/>
  <c r="B39" i="4" s="1"/>
  <c r="B9" i="5"/>
  <c r="D19" i="4" s="1"/>
  <c r="L19" i="3"/>
  <c r="M23" i="1" s="1"/>
  <c r="B17" i="5"/>
  <c r="D27" i="4" s="1"/>
  <c r="L27" i="3"/>
  <c r="M31" i="1" s="1"/>
  <c r="D29" i="4"/>
  <c r="B20" i="5"/>
  <c r="D30" i="4" s="1"/>
  <c r="L30" i="3"/>
  <c r="M34" i="1" s="1"/>
  <c r="E10" i="6"/>
  <c r="D9" i="6"/>
  <c r="L5" i="6" l="1"/>
  <c r="L6" i="6"/>
  <c r="L7" i="6"/>
  <c r="L8" i="6"/>
  <c r="L9" i="6"/>
  <c r="K5" i="6"/>
  <c r="K6" i="6"/>
  <c r="K7" i="6"/>
  <c r="K8" i="6"/>
  <c r="M5" i="6"/>
  <c r="M6" i="6"/>
  <c r="M7" i="6"/>
  <c r="M8" i="6"/>
  <c r="M9" i="6"/>
  <c r="G49" i="4"/>
  <c r="B49" i="4"/>
  <c r="C39" i="4"/>
  <c r="D10" i="6"/>
  <c r="K9" i="6"/>
  <c r="L34" i="3"/>
  <c r="M20" i="1"/>
  <c r="I9" i="6"/>
  <c r="B10" i="6"/>
  <c r="B50" i="4"/>
  <c r="L10" i="6"/>
  <c r="E11" i="6"/>
  <c r="C11" i="6"/>
  <c r="M10" i="6"/>
  <c r="F11" i="6"/>
  <c r="D39" i="4"/>
  <c r="J10" i="6" s="1"/>
  <c r="N9" i="6" l="1"/>
  <c r="K10" i="6"/>
  <c r="D11" i="6"/>
  <c r="J5" i="6"/>
  <c r="J7" i="6"/>
  <c r="J6" i="6"/>
  <c r="J8" i="6"/>
  <c r="J9" i="6"/>
  <c r="J11" i="6"/>
  <c r="C12" i="6"/>
  <c r="G9" i="6"/>
  <c r="F12" i="6"/>
  <c r="M11" i="6"/>
  <c r="L11" i="6"/>
  <c r="E12" i="6"/>
  <c r="I10" i="6"/>
  <c r="N10" i="6" s="1"/>
  <c r="B11" i="6"/>
  <c r="G10" i="6"/>
  <c r="I5" i="6"/>
  <c r="N5" i="6" s="1"/>
  <c r="G5" i="6"/>
  <c r="G6" i="6"/>
  <c r="I6" i="6"/>
  <c r="N6" i="6" s="1"/>
  <c r="I7" i="6"/>
  <c r="G7" i="6"/>
  <c r="G8" i="6"/>
  <c r="I8" i="6"/>
  <c r="M12" i="6" l="1"/>
  <c r="F13" i="6"/>
  <c r="N7" i="6"/>
  <c r="K11" i="6"/>
  <c r="D12" i="6"/>
  <c r="B12" i="6"/>
  <c r="G11" i="6"/>
  <c r="I11" i="6"/>
  <c r="N11" i="6" s="1"/>
  <c r="E13" i="6"/>
  <c r="L12" i="6"/>
  <c r="N8" i="6"/>
  <c r="J12" i="6"/>
  <c r="C13" i="6"/>
  <c r="J13" i="6" l="1"/>
  <c r="C14" i="6"/>
  <c r="I12" i="6"/>
  <c r="N12" i="6" s="1"/>
  <c r="B13" i="6"/>
  <c r="G12" i="6"/>
  <c r="K12" i="6"/>
  <c r="D13" i="6"/>
  <c r="L13" i="6"/>
  <c r="E14" i="6"/>
  <c r="M13" i="6"/>
  <c r="F14" i="6"/>
  <c r="I13" i="6" l="1"/>
  <c r="B14" i="6"/>
  <c r="G13" i="6"/>
  <c r="C15" i="6"/>
  <c r="J14" i="6"/>
  <c r="F15" i="6"/>
  <c r="M14" i="6"/>
  <c r="D14" i="6"/>
  <c r="K13" i="6"/>
  <c r="E15" i="6"/>
  <c r="L14" i="6"/>
  <c r="C16" i="6" l="1"/>
  <c r="J15" i="6"/>
  <c r="B15" i="6"/>
  <c r="I14" i="6"/>
  <c r="G14" i="6"/>
  <c r="D15" i="6"/>
  <c r="K14" i="6"/>
  <c r="E16" i="6"/>
  <c r="L15" i="6"/>
  <c r="F16" i="6"/>
  <c r="M15" i="6"/>
  <c r="N13" i="6"/>
  <c r="K15" i="6" l="1"/>
  <c r="D16" i="6"/>
  <c r="C17" i="6"/>
  <c r="J16" i="6"/>
  <c r="L16" i="6"/>
  <c r="E17" i="6"/>
  <c r="N14" i="6"/>
  <c r="F17" i="6"/>
  <c r="M16" i="6"/>
  <c r="B16" i="6"/>
  <c r="I15" i="6"/>
  <c r="N15" i="6" s="1"/>
  <c r="G15" i="6"/>
  <c r="E18" i="6" l="1"/>
  <c r="L17" i="6"/>
  <c r="D17" i="6"/>
  <c r="K16" i="6"/>
  <c r="M17" i="6"/>
  <c r="F18" i="6"/>
  <c r="G16" i="6"/>
  <c r="B17" i="6"/>
  <c r="I16" i="6"/>
  <c r="C18" i="6"/>
  <c r="J17" i="6"/>
  <c r="D18" i="6" l="1"/>
  <c r="K17" i="6"/>
  <c r="J18" i="6"/>
  <c r="C19" i="6"/>
  <c r="J19" i="6" s="1"/>
  <c r="F19" i="6"/>
  <c r="M19" i="6" s="1"/>
  <c r="M18" i="6"/>
  <c r="I17" i="6"/>
  <c r="G17" i="6"/>
  <c r="B18" i="6"/>
  <c r="N16" i="6"/>
  <c r="E19" i="6"/>
  <c r="L19" i="6" s="1"/>
  <c r="L18" i="6"/>
  <c r="N17" i="6" l="1"/>
  <c r="B19" i="6"/>
  <c r="I18" i="6"/>
  <c r="G18" i="6"/>
  <c r="D19" i="6"/>
  <c r="K19" i="6" s="1"/>
  <c r="K18" i="6"/>
  <c r="I19" i="6" l="1"/>
  <c r="N19" i="6" s="1"/>
  <c r="G19" i="6"/>
  <c r="N18" i="6"/>
  <c r="Q3" i="6" l="1"/>
  <c r="V28" i="6" l="1"/>
  <c r="R28" i="6"/>
  <c r="U27" i="6"/>
  <c r="S26" i="6"/>
  <c r="U25" i="6"/>
  <c r="S24" i="6"/>
  <c r="U23" i="6"/>
  <c r="S22" i="6"/>
  <c r="U21" i="6"/>
  <c r="S20" i="6"/>
  <c r="U19" i="6"/>
  <c r="T18" i="6"/>
  <c r="S17" i="6"/>
  <c r="V16" i="6"/>
  <c r="R16" i="6"/>
  <c r="U15" i="6"/>
  <c r="T14" i="6"/>
  <c r="C43" i="4"/>
  <c r="C45" i="4" s="1"/>
  <c r="U28" i="6"/>
  <c r="T27" i="6"/>
  <c r="V26" i="6"/>
  <c r="R26" i="6"/>
  <c r="T25" i="6"/>
  <c r="V24" i="6"/>
  <c r="R24" i="6"/>
  <c r="T23" i="6"/>
  <c r="V22" i="6"/>
  <c r="R22" i="6"/>
  <c r="T21" i="6"/>
  <c r="V20" i="6"/>
  <c r="R20" i="6"/>
  <c r="T19" i="6"/>
  <c r="S18" i="6"/>
  <c r="V17" i="6"/>
  <c r="R17" i="6"/>
  <c r="U16" i="6"/>
  <c r="T15" i="6"/>
  <c r="S14" i="6"/>
  <c r="Q8" i="6"/>
  <c r="Q6" i="6"/>
  <c r="C44" i="4" s="1"/>
  <c r="T28" i="6"/>
  <c r="S27" i="6"/>
  <c r="U26" i="6"/>
  <c r="S25" i="6"/>
  <c r="U24" i="6"/>
  <c r="S23" i="6"/>
  <c r="U22" i="6"/>
  <c r="S21" i="6"/>
  <c r="U20" i="6"/>
  <c r="S19" i="6"/>
  <c r="V18" i="6"/>
  <c r="R18" i="6"/>
  <c r="U17" i="6"/>
  <c r="T16" i="6"/>
  <c r="S15" i="6"/>
  <c r="V14" i="6"/>
  <c r="R14" i="6"/>
  <c r="S28" i="6"/>
  <c r="V27" i="6"/>
  <c r="R27" i="6"/>
  <c r="T26" i="6"/>
  <c r="V25" i="6"/>
  <c r="R25" i="6"/>
  <c r="T24" i="6"/>
  <c r="V23" i="6"/>
  <c r="R23" i="6"/>
  <c r="T22" i="6"/>
  <c r="V21" i="6"/>
  <c r="R21" i="6"/>
  <c r="T20" i="6"/>
  <c r="V19" i="6"/>
  <c r="R19" i="6"/>
  <c r="U18" i="6"/>
  <c r="T17" i="6"/>
  <c r="S16" i="6"/>
  <c r="V15" i="6"/>
  <c r="R15" i="6"/>
  <c r="U14" i="6"/>
  <c r="O31" i="6" l="1"/>
  <c r="O40" i="6"/>
  <c r="O37" i="6"/>
  <c r="O38" i="6" s="1"/>
  <c r="O39" i="6" s="1"/>
  <c r="O28" i="6"/>
  <c r="O34" i="6"/>
  <c r="O35" i="6" s="1"/>
  <c r="O36" i="6" s="1"/>
  <c r="O32" i="6" l="1"/>
  <c r="O33" i="6" s="1"/>
  <c r="O29" i="6"/>
  <c r="O30" i="6" s="1"/>
</calcChain>
</file>

<file path=xl/sharedStrings.xml><?xml version="1.0" encoding="utf-8"?>
<sst xmlns="http://schemas.openxmlformats.org/spreadsheetml/2006/main" count="128" uniqueCount="105">
  <si>
    <t>Empty Room Paste Data Here</t>
  </si>
  <si>
    <t>Mic  1</t>
  </si>
  <si>
    <t>Mic  2</t>
  </si>
  <si>
    <t>Mic  3</t>
  </si>
  <si>
    <t>Mic  4</t>
  </si>
  <si>
    <t>Mic  5</t>
  </si>
  <si>
    <t>Mic  6</t>
  </si>
  <si>
    <t>frequency_Hz</t>
  </si>
  <si>
    <t>ai0</t>
  </si>
  <si>
    <t>ai1</t>
  </si>
  <si>
    <t>ai2</t>
  </si>
  <si>
    <t>ai3</t>
  </si>
  <si>
    <t>ai4</t>
  </si>
  <si>
    <t>ai5</t>
  </si>
  <si>
    <t>avg</t>
  </si>
  <si>
    <t>abs_area</t>
  </si>
  <si>
    <t>Results</t>
  </si>
  <si>
    <t>Frequency (HZ)</t>
  </si>
  <si>
    <t>RT</t>
  </si>
  <si>
    <t>1 = Pass</t>
  </si>
  <si>
    <t>% RH</t>
  </si>
  <si>
    <t>Temp degC</t>
  </si>
  <si>
    <t>Pressure (kPa)</t>
  </si>
  <si>
    <t>empty1</t>
  </si>
  <si>
    <t>60</t>
  </si>
  <si>
    <t>20</t>
  </si>
  <si>
    <t>101</t>
  </si>
  <si>
    <t>With Sample Paste Data Here</t>
  </si>
  <si>
    <t>Mic 1</t>
  </si>
  <si>
    <t>Mic 2</t>
  </si>
  <si>
    <t>Mic 3</t>
  </si>
  <si>
    <t>Mic 4</t>
  </si>
  <si>
    <t>Mic 5</t>
  </si>
  <si>
    <t>Mic 6</t>
  </si>
  <si>
    <t>DO NOT ADJUST ANY OF THESE VALUES</t>
  </si>
  <si>
    <t>Temp. (degC)</t>
  </si>
  <si>
    <t>Rel. Hum.</t>
  </si>
  <si>
    <t>Patm (kPa)</t>
  </si>
  <si>
    <t>Conditions for T1 measurements</t>
  </si>
  <si>
    <t>Conditions for T2 measurements</t>
  </si>
  <si>
    <t>Volume of Room (m3)</t>
  </si>
  <si>
    <t>Empty Room, T1</t>
  </si>
  <si>
    <t>Room with sample, T2</t>
  </si>
  <si>
    <t>Speed of sound (m/s)</t>
  </si>
  <si>
    <t>Molar conc. of water avpor (%)</t>
  </si>
  <si>
    <t>Oxygen relaxation frequency (Hz)</t>
  </si>
  <si>
    <t>Nitrogen relaxation frequency (Hz)</t>
  </si>
  <si>
    <t>Attenuation Factors</t>
  </si>
  <si>
    <t>Power Attenuation Coefficients, m</t>
  </si>
  <si>
    <t>Average Reverberation Times</t>
  </si>
  <si>
    <t>Absorption Areas, A</t>
  </si>
  <si>
    <t>Maximum Absorption Area of Empty Room</t>
  </si>
  <si>
    <t>Check</t>
  </si>
  <si>
    <t>Frequency (Hz)</t>
  </si>
  <si>
    <t>Full Room, T2</t>
  </si>
  <si>
    <t>T1</t>
  </si>
  <si>
    <t>T2</t>
  </si>
  <si>
    <t>Measurment Results</t>
  </si>
  <si>
    <t>Client:</t>
  </si>
  <si>
    <t>T&amp;R Interior Systems</t>
  </si>
  <si>
    <t>Test Date:</t>
  </si>
  <si>
    <t>Specimen trade name:</t>
  </si>
  <si>
    <t>C Max tec</t>
  </si>
  <si>
    <t>Description of specimen:</t>
  </si>
  <si>
    <t>White faced 20mm thick glass fibre tile with woven cloth surface. Back face, yellow glass fibre with white glass fibre covering</t>
  </si>
  <si>
    <t>Sample size:</t>
  </si>
  <si>
    <t>1.195 x 0595 m x 20 mm thick</t>
  </si>
  <si>
    <t>Sample mass:</t>
  </si>
  <si>
    <t>1.898 kg/per tile</t>
  </si>
  <si>
    <t>Average Value</t>
  </si>
  <si>
    <t>Number of elements</t>
  </si>
  <si>
    <t>Air Temperature (deg 0C)</t>
  </si>
  <si>
    <t>Sample area:</t>
  </si>
  <si>
    <t>Relative Humidity (R/H) %</t>
  </si>
  <si>
    <t>Mounting type:</t>
  </si>
  <si>
    <t>E400</t>
  </si>
  <si>
    <t>Barometric pressure (atm) kPa</t>
  </si>
  <si>
    <t>Test Results for</t>
  </si>
  <si>
    <t>Frequency f (Hz)</t>
  </si>
  <si>
    <t>T1 - Empty Chamber (seconds)</t>
  </si>
  <si>
    <t>T2 - With Sample (seconds)</t>
  </si>
  <si>
    <t>αS One-third octave</t>
  </si>
  <si>
    <t>Ratings according to ISO 11654: 1997</t>
  </si>
  <si>
    <t>Practical sound absorption coefficient</t>
  </si>
  <si>
    <t>αp</t>
  </si>
  <si>
    <t>Weighted sound absorption coefficient</t>
  </si>
  <si>
    <t>αw</t>
  </si>
  <si>
    <t xml:space="preserve">Shape indication </t>
  </si>
  <si>
    <t>Absorber classification</t>
  </si>
  <si>
    <t>Single number ratings to ASTM - 99, ASTM C423 - 17</t>
  </si>
  <si>
    <t>NRC</t>
  </si>
  <si>
    <t>Ave</t>
  </si>
  <si>
    <t>Diffuser SAA</t>
  </si>
  <si>
    <t xml:space="preserve"> (SAA between 500 Hz and 5000 Hz)</t>
  </si>
  <si>
    <t>Insert Picture Here</t>
  </si>
  <si>
    <t>Absorption area</t>
  </si>
  <si>
    <t xml:space="preserve">empty </t>
  </si>
  <si>
    <t>sample</t>
  </si>
  <si>
    <t>Work in progress</t>
  </si>
  <si>
    <t>This page calculates the single number ratings</t>
  </si>
  <si>
    <t>aw</t>
  </si>
  <si>
    <t>Shape indication</t>
  </si>
  <si>
    <t>250 Hz</t>
  </si>
  <si>
    <t>500 - 1000 Hz</t>
  </si>
  <si>
    <t>2000 - 4000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</si>
</sst>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"/>
    <numFmt numFmtId="167" formatCode="0.0000000"/>
  </numFmts>
  <fonts count="1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Times New Roman"/>
      <family val="1"/>
    </font>
    <font>
      <sz val="8"/>
      <name val="Arial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25"/>
  </cellStyleXfs>
  <cellXfs count="159">
    <xf numFmtId="0" fontId="0" fillId="0" borderId="0" xfId="0"/>
    <xf numFmtId="11" fontId="0" fillId="0" borderId="0" xfId="0" applyNumberFormat="1"/>
    <xf numFmtId="2" fontId="0" fillId="0" borderId="0" xfId="0" applyNumberFormat="1"/>
    <xf numFmtId="11" fontId="0" fillId="0" borderId="0" xfId="0" applyNumberFormat="1" applyAlignment="1">
      <alignment horizontal="center"/>
    </xf>
    <xf numFmtId="0" fontId="1" fillId="2" borderId="25" xfId="1"/>
    <xf numFmtId="0" fontId="0" fillId="0" borderId="7" xfId="0" applyBorder="1"/>
    <xf numFmtId="0" fontId="0" fillId="0" borderId="0" xfId="0"/>
    <xf numFmtId="0" fontId="0" fillId="0" borderId="26" xfId="0" applyBorder="1"/>
    <xf numFmtId="0" fontId="0" fillId="0" borderId="8" xfId="0" applyBorder="1"/>
    <xf numFmtId="0" fontId="0" fillId="0" borderId="27" xfId="0" applyBorder="1"/>
    <xf numFmtId="0" fontId="0" fillId="0" borderId="0" xfId="0" applyAlignment="1">
      <alignment horizontal="center"/>
    </xf>
    <xf numFmtId="2" fontId="4" fillId="0" borderId="0" xfId="0" applyNumberFormat="1" applyFont="1"/>
    <xf numFmtId="14" fontId="4" fillId="0" borderId="0" xfId="0" applyNumberFormat="1" applyFont="1"/>
    <xf numFmtId="0" fontId="4" fillId="0" borderId="28" xfId="0" applyFont="1" applyBorder="1"/>
    <xf numFmtId="2" fontId="4" fillId="0" borderId="28" xfId="0" applyNumberFormat="1" applyFont="1" applyBorder="1" applyAlignment="1">
      <alignment horizontal="center"/>
    </xf>
    <xf numFmtId="0" fontId="5" fillId="0" borderId="28" xfId="0" applyFont="1" applyBorder="1"/>
    <xf numFmtId="0" fontId="5" fillId="0" borderId="0" xfId="0" applyFont="1"/>
    <xf numFmtId="0" fontId="7" fillId="0" borderId="0" xfId="0" applyFont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9" fillId="0" borderId="0" xfId="0" applyFont="1"/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9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4" xfId="0" applyFont="1" applyBorder="1"/>
    <xf numFmtId="0" fontId="10" fillId="0" borderId="12" xfId="0" applyFont="1" applyBorder="1" applyAlignment="1">
      <alignment horizontal="center" vertical="center"/>
    </xf>
    <xf numFmtId="0" fontId="10" fillId="0" borderId="7" xfId="0" applyFont="1" applyBorder="1"/>
    <xf numFmtId="2" fontId="10" fillId="0" borderId="18" xfId="0" applyNumberFormat="1" applyFont="1" applyBorder="1" applyAlignment="1">
      <alignment horizontal="center"/>
    </xf>
    <xf numFmtId="2" fontId="10" fillId="0" borderId="19" xfId="0" applyNumberFormat="1" applyFont="1" applyBorder="1" applyAlignment="1">
      <alignment horizontal="center"/>
    </xf>
    <xf numFmtId="0" fontId="10" fillId="0" borderId="8" xfId="0" applyFont="1" applyBorder="1"/>
    <xf numFmtId="2" fontId="10" fillId="0" borderId="13" xfId="0" applyNumberFormat="1" applyFont="1" applyBorder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0" xfId="0" applyNumberFormat="1" applyFont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24" xfId="0" applyNumberFormat="1" applyFont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0" fillId="0" borderId="28" xfId="0" applyBorder="1"/>
    <xf numFmtId="0" fontId="2" fillId="0" borderId="28" xfId="0" applyFont="1" applyBorder="1"/>
    <xf numFmtId="0" fontId="3" fillId="0" borderId="28" xfId="0" applyFont="1" applyBorder="1" applyAlignment="1">
      <alignment horizontal="center"/>
    </xf>
    <xf numFmtId="0" fontId="4" fillId="0" borderId="33" xfId="0" applyFont="1" applyBorder="1"/>
    <xf numFmtId="2" fontId="5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33" xfId="0" applyNumberFormat="1" applyFont="1" applyBorder="1" applyAlignment="1">
      <alignment horizontal="center" vertical="center"/>
    </xf>
    <xf numFmtId="0" fontId="10" fillId="3" borderId="3" xfId="0" applyFont="1" applyFill="1" applyBorder="1"/>
    <xf numFmtId="0" fontId="4" fillId="0" borderId="0" xfId="0" applyFont="1" applyAlignment="1">
      <alignment horizontal="left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42" xfId="0" applyBorder="1"/>
    <xf numFmtId="0" fontId="0" fillId="0" borderId="32" xfId="0" applyBorder="1"/>
    <xf numFmtId="0" fontId="0" fillId="0" borderId="43" xfId="0" applyBorder="1"/>
    <xf numFmtId="0" fontId="10" fillId="0" borderId="28" xfId="0" applyFont="1" applyBorder="1" applyAlignment="1">
      <alignment horizontal="center" vertical="center"/>
    </xf>
    <xf numFmtId="0" fontId="10" fillId="0" borderId="28" xfId="0" applyFont="1" applyBorder="1"/>
    <xf numFmtId="0" fontId="10" fillId="0" borderId="28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28" xfId="0" applyFont="1" applyBorder="1" applyAlignment="1">
      <alignment horizontal="center" vertical="center" wrapText="1"/>
    </xf>
    <xf numFmtId="0" fontId="4" fillId="0" borderId="28" xfId="0" applyFont="1" applyBorder="1" applyAlignment="1">
      <alignment vertical="center"/>
    </xf>
    <xf numFmtId="0" fontId="5" fillId="0" borderId="28" xfId="0" applyFont="1" applyBorder="1" applyAlignment="1">
      <alignment wrapText="1"/>
    </xf>
    <xf numFmtId="0" fontId="5" fillId="0" borderId="28" xfId="0" applyFont="1" applyBorder="1" applyAlignment="1">
      <alignment vertical="center"/>
    </xf>
    <xf numFmtId="0" fontId="5" fillId="0" borderId="28" xfId="0" applyFont="1" applyBorder="1" applyAlignment="1">
      <alignment horizontal="left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2" fontId="10" fillId="4" borderId="17" xfId="0" applyNumberFormat="1" applyFont="1" applyFill="1" applyBorder="1" applyAlignment="1">
      <alignment horizontal="center" vertical="center"/>
    </xf>
    <xf numFmtId="0" fontId="4" fillId="5" borderId="28" xfId="0" applyFont="1" applyFill="1" applyBorder="1"/>
    <xf numFmtId="0" fontId="4" fillId="5" borderId="28" xfId="0" applyFont="1" applyFill="1" applyBorder="1" applyAlignment="1">
      <alignment horizontal="center" vertical="center"/>
    </xf>
    <xf numFmtId="0" fontId="4" fillId="6" borderId="44" xfId="0" applyFont="1" applyFill="1" applyBorder="1"/>
    <xf numFmtId="0" fontId="4" fillId="6" borderId="45" xfId="0" applyFont="1" applyFill="1" applyBorder="1"/>
    <xf numFmtId="0" fontId="4" fillId="6" borderId="46" xfId="0" applyFont="1" applyFill="1" applyBorder="1"/>
    <xf numFmtId="0" fontId="4" fillId="6" borderId="22" xfId="0" applyFont="1" applyFill="1" applyBorder="1"/>
    <xf numFmtId="0" fontId="4" fillId="6" borderId="0" xfId="0" applyFont="1" applyFill="1"/>
    <xf numFmtId="0" fontId="4" fillId="6" borderId="35" xfId="0" applyFont="1" applyFill="1" applyBorder="1"/>
    <xf numFmtId="0" fontId="4" fillId="6" borderId="47" xfId="0" applyFont="1" applyFill="1" applyBorder="1"/>
    <xf numFmtId="0" fontId="4" fillId="6" borderId="34" xfId="0" applyFont="1" applyFill="1" applyBorder="1"/>
    <xf numFmtId="0" fontId="4" fillId="6" borderId="48" xfId="0" applyFont="1" applyFill="1" applyBorder="1"/>
    <xf numFmtId="2" fontId="10" fillId="0" borderId="35" xfId="0" applyNumberFormat="1" applyFont="1" applyBorder="1" applyAlignment="1">
      <alignment horizontal="center"/>
    </xf>
    <xf numFmtId="2" fontId="10" fillId="0" borderId="36" xfId="0" applyNumberFormat="1" applyFont="1" applyBorder="1" applyAlignment="1">
      <alignment horizontal="center"/>
    </xf>
    <xf numFmtId="2" fontId="10" fillId="0" borderId="35" xfId="0" applyNumberFormat="1" applyFont="1" applyBorder="1"/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7" borderId="55" xfId="0" applyFill="1" applyBorder="1"/>
    <xf numFmtId="0" fontId="0" fillId="0" borderId="28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10" fillId="0" borderId="18" xfId="0" applyNumberFormat="1" applyFont="1" applyBorder="1" applyAlignment="1">
      <alignment horizontal="center"/>
    </xf>
    <xf numFmtId="165" fontId="10" fillId="0" borderId="19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166" fontId="10" fillId="0" borderId="18" xfId="0" applyNumberFormat="1" applyFont="1" applyBorder="1" applyAlignment="1">
      <alignment horizontal="center"/>
    </xf>
    <xf numFmtId="166" fontId="10" fillId="0" borderId="49" xfId="0" applyNumberFormat="1" applyFont="1" applyBorder="1" applyAlignment="1">
      <alignment horizontal="center"/>
    </xf>
    <xf numFmtId="165" fontId="10" fillId="0" borderId="8" xfId="0" applyNumberFormat="1" applyFont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50" xfId="0" applyNumberFormat="1" applyFont="1" applyBorder="1" applyAlignment="1">
      <alignment horizontal="center"/>
    </xf>
    <xf numFmtId="167" fontId="4" fillId="0" borderId="0" xfId="0" applyNumberFormat="1" applyFont="1"/>
    <xf numFmtId="0" fontId="2" fillId="0" borderId="28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8" xfId="0" applyFont="1" applyBorder="1" applyAlignment="1">
      <alignment horizontal="center"/>
    </xf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3" fillId="4" borderId="28" xfId="0" applyFont="1" applyFill="1" applyBorder="1" applyAlignment="1">
      <alignment horizontal="center"/>
    </xf>
    <xf numFmtId="0" fontId="0" fillId="0" borderId="31" xfId="0" applyBorder="1"/>
    <xf numFmtId="0" fontId="0" fillId="0" borderId="30" xfId="0" applyBorder="1"/>
    <xf numFmtId="0" fontId="2" fillId="0" borderId="28" xfId="0" applyFont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2" fillId="0" borderId="20" xfId="0" applyFont="1" applyBorder="1" applyAlignment="1">
      <alignment horizontal="center"/>
    </xf>
    <xf numFmtId="0" fontId="10" fillId="0" borderId="56" xfId="0" applyFont="1" applyBorder="1" applyAlignment="1">
      <alignment horizontal="center" vertical="center"/>
    </xf>
    <xf numFmtId="0" fontId="0" fillId="0" borderId="54" xfId="0" applyBorder="1"/>
    <xf numFmtId="0" fontId="10" fillId="0" borderId="4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2" xfId="0" applyBorder="1"/>
    <xf numFmtId="0" fontId="10" fillId="0" borderId="56" xfId="0" applyFont="1" applyBorder="1" applyAlignment="1">
      <alignment horizontal="center" wrapText="1"/>
    </xf>
    <xf numFmtId="0" fontId="8" fillId="0" borderId="0" xfId="0" applyFont="1" applyAlignment="1">
      <alignment horizontal="center"/>
    </xf>
    <xf numFmtId="0" fontId="4" fillId="0" borderId="0" xfId="0" applyFont="1"/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right" vertical="center"/>
    </xf>
    <xf numFmtId="0" fontId="4" fillId="0" borderId="30" xfId="0" applyFont="1" applyBorder="1" applyAlignment="1">
      <alignment horizontal="center" vertical="center"/>
    </xf>
    <xf numFmtId="0" fontId="5" fillId="0" borderId="28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/>
    </xf>
    <xf numFmtId="0" fontId="4" fillId="4" borderId="28" xfId="0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14" fontId="4" fillId="4" borderId="28" xfId="0" applyNumberFormat="1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wrapText="1"/>
    </xf>
    <xf numFmtId="0" fontId="5" fillId="0" borderId="28" xfId="0" applyFont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1270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10.405596949723048</c:v>
                </c:pt>
                <c:pt idx="1">
                  <c:v>8.6902642892892654</c:v>
                </c:pt>
                <c:pt idx="2">
                  <c:v>10.260421781979286</c:v>
                </c:pt>
                <c:pt idx="3">
                  <c:v>9.3602765438699702</c:v>
                </c:pt>
                <c:pt idx="4">
                  <c:v>9.6179946180928777</c:v>
                </c:pt>
                <c:pt idx="5">
                  <c:v>9.758860473615897</c:v>
                </c:pt>
                <c:pt idx="6">
                  <c:v>11.775074683090303</c:v>
                </c:pt>
                <c:pt idx="7">
                  <c:v>12.367237151523662</c:v>
                </c:pt>
                <c:pt idx="8">
                  <c:v>14.70606010632031</c:v>
                </c:pt>
                <c:pt idx="9">
                  <c:v>16.284883911022494</c:v>
                </c:pt>
                <c:pt idx="10">
                  <c:v>15.717940574379652</c:v>
                </c:pt>
                <c:pt idx="11">
                  <c:v>16.463995147401512</c:v>
                </c:pt>
                <c:pt idx="12">
                  <c:v>17.358005436242237</c:v>
                </c:pt>
                <c:pt idx="13">
                  <c:v>18.325616325458324</c:v>
                </c:pt>
                <c:pt idx="14">
                  <c:v>19.192575064034433</c:v>
                </c:pt>
                <c:pt idx="15">
                  <c:v>19.80036194901545</c:v>
                </c:pt>
                <c:pt idx="16">
                  <c:v>21.243736636308551</c:v>
                </c:pt>
                <c:pt idx="17">
                  <c:v>22.8542390741056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8-4ED4-B8CD-0ABED748B5B8}"/>
            </c:ext>
          </c:extLst>
        </c:ser>
        <c:ser>
          <c:idx val="1"/>
          <c:order val="1"/>
          <c:tx>
            <c:v>Maximum absorption</c:v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8-4ED4-B8CD-0ABED748B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958216411562"/>
          <c:y val="4.524523484891485E-2"/>
          <c:w val="0.84551393125850771"/>
          <c:h val="0.78684651642487169"/>
        </c:manualLayout>
      </c:layout>
      <c:lineChart>
        <c:grouping val="standard"/>
        <c:varyColors val="0"/>
        <c:ser>
          <c:idx val="2"/>
          <c:order val="0"/>
          <c:tx>
            <c:v>Absorber</c:v>
          </c:tx>
          <c:spPr>
            <a:ln w="12700" cap="rnd">
              <a:solidFill>
                <a:schemeClr val="tx2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  <a:prstDash val="solid"/>
              </a:ln>
            </c:spPr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'Output for Report'!$D$16:$D$33</c:f>
              <c:numCache>
                <c:formatCode>0.00</c:formatCode>
                <c:ptCount val="18"/>
                <c:pt idx="0">
                  <c:v>4.7894200649849658E-2</c:v>
                </c:pt>
                <c:pt idx="1">
                  <c:v>0.35624962349652201</c:v>
                </c:pt>
                <c:pt idx="2">
                  <c:v>5.0805356027313349E-2</c:v>
                </c:pt>
                <c:pt idx="3">
                  <c:v>0.21008004875334549</c:v>
                </c:pt>
                <c:pt idx="4">
                  <c:v>0.37047614783392308</c:v>
                </c:pt>
                <c:pt idx="5">
                  <c:v>0.32765358095063751</c:v>
                </c:pt>
                <c:pt idx="6">
                  <c:v>0.10971349010422778</c:v>
                </c:pt>
                <c:pt idx="7">
                  <c:v>0.1236760491740061</c:v>
                </c:pt>
                <c:pt idx="8">
                  <c:v>-2.1643816971925398E-2</c:v>
                </c:pt>
                <c:pt idx="9">
                  <c:v>-3.4103916804792855E-2</c:v>
                </c:pt>
                <c:pt idx="10">
                  <c:v>0.11612561705024593</c:v>
                </c:pt>
                <c:pt idx="11">
                  <c:v>7.9754995181105112E-2</c:v>
                </c:pt>
                <c:pt idx="12">
                  <c:v>4.1937001045559558E-2</c:v>
                </c:pt>
                <c:pt idx="13">
                  <c:v>4.9497334866201698E-2</c:v>
                </c:pt>
                <c:pt idx="14">
                  <c:v>2.4755161603372672E-2</c:v>
                </c:pt>
                <c:pt idx="15">
                  <c:v>7.6276752836264325E-2</c:v>
                </c:pt>
                <c:pt idx="16">
                  <c:v>6.8761365073475078E-2</c:v>
                </c:pt>
                <c:pt idx="17">
                  <c:v>3.181230771203096E-2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F8-4A3A-A539-7210AB856AB7}"/>
            </c:ext>
          </c:extLst>
        </c:ser>
        <c:ser>
          <c:idx val="3"/>
          <c:order val="1"/>
          <c:tx>
            <c:v>αw reference curve</c:v>
          </c:tx>
          <c:spPr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'Background calcs'!$O$24:$O$41</c:f>
              <c:numCache>
                <c:formatCode>General</c:formatCode>
                <c:ptCount val="18"/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F8-4A3A-A539-7210AB856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1440"/>
        <c:axId val="101537280"/>
      </c:lineChart>
      <c:catAx>
        <c:axId val="9158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900">
                    <a:solidFill>
                      <a:sysClr val="windowText" lastClr="000000"/>
                    </a:solidFill>
                  </a:rPr>
                  <a:t>Frequency, f,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7280"/>
        <c:crosses val="autoZero"/>
        <c:auto val="1"/>
        <c:lblAlgn val="ctr"/>
        <c:lblOffset val="100"/>
        <c:noMultiLvlLbl val="0"/>
      </c:catAx>
      <c:valAx>
        <c:axId val="10153728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strike="noStrike" baseline="0">
                    <a:solidFill>
                      <a:schemeClr val="tx1"/>
                    </a:solidFill>
                  </a:rPr>
                  <a:t>Sound absorption coefficient, α</a:t>
                </a:r>
                <a:r>
                  <a:rPr lang="en-US" sz="900" b="0" i="0" strike="noStrike" baseline="-25000">
                    <a:solidFill>
                      <a:schemeClr val="tx1"/>
                    </a:solidFill>
                  </a:rPr>
                  <a:t>S</a:t>
                </a:r>
                <a:endParaRPr lang="en-NZ" sz="9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3065957901211168E-3"/>
              <c:y val="0.2015336160078642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8144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0.47330513785915568"/>
          <c:y val="0.57118229367315465"/>
          <c:w val="0.46042679093345168"/>
          <c:h val="6.8389536414331181E-2"/>
        </c:manualLayout>
      </c:layout>
      <c:overlay val="0"/>
      <c:spPr>
        <a:solidFill>
          <a:schemeClr val="bg1"/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10.405596949723048</c:v>
                </c:pt>
                <c:pt idx="1">
                  <c:v>8.6902642892892654</c:v>
                </c:pt>
                <c:pt idx="2">
                  <c:v>10.260421781979286</c:v>
                </c:pt>
                <c:pt idx="3">
                  <c:v>9.3602765438699702</c:v>
                </c:pt>
                <c:pt idx="4">
                  <c:v>9.6179946180928777</c:v>
                </c:pt>
                <c:pt idx="5">
                  <c:v>9.758860473615897</c:v>
                </c:pt>
                <c:pt idx="6">
                  <c:v>11.775074683090303</c:v>
                </c:pt>
                <c:pt idx="7">
                  <c:v>12.367237151523662</c:v>
                </c:pt>
                <c:pt idx="8">
                  <c:v>14.70606010632031</c:v>
                </c:pt>
                <c:pt idx="9">
                  <c:v>16.284883911022494</c:v>
                </c:pt>
                <c:pt idx="10">
                  <c:v>15.717940574379652</c:v>
                </c:pt>
                <c:pt idx="11">
                  <c:v>16.463995147401512</c:v>
                </c:pt>
                <c:pt idx="12">
                  <c:v>17.358005436242237</c:v>
                </c:pt>
                <c:pt idx="13">
                  <c:v>18.325616325458324</c:v>
                </c:pt>
                <c:pt idx="14">
                  <c:v>19.192575064034433</c:v>
                </c:pt>
                <c:pt idx="15">
                  <c:v>19.80036194901545</c:v>
                </c:pt>
                <c:pt idx="16">
                  <c:v>21.243736636308551</c:v>
                </c:pt>
                <c:pt idx="17">
                  <c:v>22.8542390741056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E-4437-A3B4-CA33B768C771}"/>
            </c:ext>
          </c:extLst>
        </c:ser>
        <c:ser>
          <c:idx val="1"/>
          <c:order val="1"/>
          <c:tx>
            <c:v>Maximum absorption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3E-4437-A3B4-CA33B768C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0</xdr:row>
      <xdr:rowOff>19049</xdr:rowOff>
    </xdr:from>
    <xdr:to>
      <xdr:col>16</xdr:col>
      <xdr:colOff>600075</xdr:colOff>
      <xdr:row>16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6611</xdr:colOff>
      <xdr:row>12</xdr:row>
      <xdr:rowOff>4276</xdr:rowOff>
    </xdr:from>
    <xdr:to>
      <xdr:col>9</xdr:col>
      <xdr:colOff>6569</xdr:colOff>
      <xdr:row>24</xdr:row>
      <xdr:rowOff>23974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17</xdr:col>
      <xdr:colOff>342901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T123"/>
  <sheetViews>
    <sheetView topLeftCell="A13" zoomScale="115" zoomScaleNormal="115" workbookViewId="0">
      <selection activeCell="L39" sqref="L39"/>
    </sheetView>
  </sheetViews>
  <sheetFormatPr defaultColWidth="9.140625" defaultRowHeight="15" x14ac:dyDescent="0.25"/>
  <cols>
    <col min="1" max="1" width="13.28515625" style="6" bestFit="1" customWidth="1"/>
    <col min="2" max="2" width="9.140625" style="6" customWidth="1"/>
    <col min="3" max="3" width="10" style="6" customWidth="1"/>
    <col min="4" max="8" width="9.140625" style="6" customWidth="1"/>
    <col min="9" max="9" width="12" style="6" bestFit="1" customWidth="1"/>
    <col min="10" max="10" width="5" style="6" customWidth="1"/>
    <col min="11" max="11" width="14.5703125" style="6" bestFit="1" customWidth="1"/>
    <col min="12" max="12" width="12" style="6" bestFit="1" customWidth="1"/>
    <col min="13" max="73" width="9.140625" style="6" customWidth="1"/>
    <col min="74" max="16384" width="9.140625" style="6"/>
  </cols>
  <sheetData>
    <row r="1" spans="1:97" ht="21" customHeight="1" x14ac:dyDescent="0.35">
      <c r="A1" s="125" t="s">
        <v>0</v>
      </c>
      <c r="B1" s="126"/>
      <c r="C1" s="126"/>
      <c r="D1" s="126"/>
      <c r="E1" s="126"/>
      <c r="F1" s="126"/>
      <c r="G1" s="126"/>
      <c r="H1" s="126"/>
      <c r="I1" s="127"/>
    </row>
    <row r="2" spans="1:97" ht="21" customHeight="1" x14ac:dyDescent="0.35">
      <c r="A2" s="49"/>
      <c r="B2" s="117" t="s">
        <v>1</v>
      </c>
      <c r="C2" s="117" t="s">
        <v>2</v>
      </c>
      <c r="D2" s="117" t="s">
        <v>3</v>
      </c>
      <c r="E2" s="117" t="s">
        <v>4</v>
      </c>
      <c r="F2" s="117" t="s">
        <v>5</v>
      </c>
      <c r="G2" s="117" t="s">
        <v>6</v>
      </c>
      <c r="H2" s="49"/>
      <c r="I2" s="49"/>
    </row>
    <row r="3" spans="1:97" x14ac:dyDescent="0.25">
      <c r="A3" s="48" t="s">
        <v>7</v>
      </c>
      <c r="B3" s="48" t="s">
        <v>8</v>
      </c>
      <c r="C3" s="48" t="s">
        <v>9</v>
      </c>
      <c r="D3" s="48" t="s">
        <v>10</v>
      </c>
      <c r="E3" s="48" t="s">
        <v>11</v>
      </c>
      <c r="F3" s="48" t="s">
        <v>12</v>
      </c>
      <c r="G3" s="48" t="s">
        <v>13</v>
      </c>
      <c r="H3" s="48" t="s">
        <v>14</v>
      </c>
      <c r="I3" s="48" t="s">
        <v>15</v>
      </c>
    </row>
    <row r="4" spans="1:97" x14ac:dyDescent="0.25">
      <c r="A4" s="47"/>
      <c r="B4" s="47"/>
      <c r="C4" s="47"/>
      <c r="D4" s="47"/>
      <c r="E4" s="47"/>
      <c r="F4" s="47"/>
      <c r="G4" s="47"/>
      <c r="H4" s="47"/>
      <c r="I4" s="47"/>
    </row>
    <row r="5" spans="1:97" x14ac:dyDescent="0.25">
      <c r="A5" s="47">
        <v>100</v>
      </c>
      <c r="B5" s="47">
        <v>3.6861882072974761</v>
      </c>
      <c r="C5" s="47">
        <v>3.259097929526618</v>
      </c>
      <c r="D5" s="47">
        <v>2.903965118388296</v>
      </c>
      <c r="E5" s="47">
        <v>3.2994177651271541</v>
      </c>
      <c r="F5" s="47">
        <v>2.9797001259599818</v>
      </c>
      <c r="G5" s="47">
        <v>3.24033395547097</v>
      </c>
      <c r="H5" s="47">
        <v>3.2281171836284162</v>
      </c>
      <c r="I5" s="47">
        <v>19.109904250960231</v>
      </c>
    </row>
    <row r="6" spans="1:97" x14ac:dyDescent="0.25">
      <c r="A6" s="47"/>
      <c r="B6" s="47"/>
      <c r="C6" s="47"/>
      <c r="D6" s="47"/>
      <c r="E6" s="47"/>
      <c r="F6" s="47"/>
      <c r="G6" s="47"/>
      <c r="H6" s="47"/>
      <c r="I6" s="47"/>
    </row>
    <row r="7" spans="1:97" x14ac:dyDescent="0.25">
      <c r="A7" s="47">
        <v>125</v>
      </c>
      <c r="B7" s="47">
        <v>4.2133069263442771</v>
      </c>
      <c r="C7" s="47">
        <v>3.1386953156115149</v>
      </c>
      <c r="D7" s="47">
        <v>4.1823402096312696</v>
      </c>
      <c r="E7" s="47">
        <v>3.6231968973117779</v>
      </c>
      <c r="F7" s="47">
        <v>4.3057010809484417</v>
      </c>
      <c r="G7" s="47">
        <v>3.3380912088589851</v>
      </c>
      <c r="H7" s="47">
        <v>3.8002219397843779</v>
      </c>
      <c r="I7" s="47">
        <v>16.23300195698501</v>
      </c>
    </row>
    <row r="8" spans="1:97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97" x14ac:dyDescent="0.25">
      <c r="A9" s="47">
        <v>160</v>
      </c>
      <c r="B9" s="47">
        <v>3.4888986942258962</v>
      </c>
      <c r="C9" s="47">
        <v>2.7568542132766551</v>
      </c>
      <c r="D9" s="47">
        <v>3.3855894121924739</v>
      </c>
      <c r="E9" s="47">
        <v>3.1088300534547688</v>
      </c>
      <c r="F9" s="47">
        <v>3.3260772182824732</v>
      </c>
      <c r="G9" s="47">
        <v>3.3320914399570229</v>
      </c>
      <c r="H9" s="47">
        <v>3.233056838564881</v>
      </c>
      <c r="I9" s="47">
        <v>19.08070695183557</v>
      </c>
    </row>
    <row r="10" spans="1:97" x14ac:dyDescent="0.25">
      <c r="A10" s="47"/>
      <c r="B10" s="47"/>
      <c r="C10" s="47"/>
      <c r="D10" s="47"/>
      <c r="E10" s="47"/>
      <c r="F10" s="47"/>
      <c r="G10" s="47"/>
      <c r="H10" s="47"/>
      <c r="I10" s="47"/>
    </row>
    <row r="11" spans="1:97" x14ac:dyDescent="0.25">
      <c r="A11" s="47">
        <v>200</v>
      </c>
      <c r="B11" s="47">
        <v>3.5216514540924768</v>
      </c>
      <c r="C11" s="47">
        <v>3.454761387189484</v>
      </c>
      <c r="D11" s="47">
        <v>3.3510205129457682</v>
      </c>
      <c r="E11" s="47">
        <v>3.6985433613935519</v>
      </c>
      <c r="F11" s="47">
        <v>3.5274872894584361</v>
      </c>
      <c r="G11" s="47">
        <v>3.5039314571252191</v>
      </c>
      <c r="H11" s="47">
        <v>3.5095659103674901</v>
      </c>
      <c r="I11" s="47">
        <v>17.57739032363229</v>
      </c>
    </row>
    <row r="12" spans="1:9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1"/>
      <c r="V12" s="1"/>
      <c r="Y12" s="1"/>
      <c r="AB12" s="1"/>
      <c r="AE12" s="1"/>
      <c r="AH12" s="1"/>
      <c r="AK12" s="1"/>
      <c r="AN12" s="1"/>
      <c r="AQ12" s="1"/>
      <c r="AT12" s="1"/>
      <c r="AW12" s="1"/>
      <c r="AZ12" s="1"/>
      <c r="BC12" s="1"/>
      <c r="BF12" s="1"/>
      <c r="BI12" s="1"/>
      <c r="BL12" s="1"/>
      <c r="BO12" s="1"/>
      <c r="BR12" s="1"/>
      <c r="BU12" s="1"/>
      <c r="BX12" s="1"/>
      <c r="CA12" s="1"/>
      <c r="CD12" s="1"/>
      <c r="CG12" s="1"/>
      <c r="CJ12" s="1"/>
      <c r="CM12" s="1"/>
      <c r="CP12" s="1"/>
      <c r="CS12" s="1"/>
    </row>
    <row r="13" spans="1:97" x14ac:dyDescent="0.25">
      <c r="A13" s="47">
        <v>250</v>
      </c>
      <c r="B13" s="47">
        <v>3.4519142810847052</v>
      </c>
      <c r="C13" s="47">
        <v>3.05715831703289</v>
      </c>
      <c r="D13" s="47">
        <v>3.378817092248549</v>
      </c>
      <c r="E13" s="47">
        <v>3.7466485107087171</v>
      </c>
      <c r="F13" s="47">
        <v>3.560758259416525</v>
      </c>
      <c r="G13" s="47">
        <v>3.279614022717237</v>
      </c>
      <c r="H13" s="47">
        <v>3.4124850805347702</v>
      </c>
      <c r="I13" s="47">
        <v>18.077444482831499</v>
      </c>
      <c r="J13" s="1"/>
      <c r="V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</row>
    <row r="14" spans="1:97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7" x14ac:dyDescent="0.25">
      <c r="A15" s="47">
        <v>315</v>
      </c>
      <c r="B15" s="47">
        <v>3.5584108986534528</v>
      </c>
      <c r="C15" s="47">
        <v>3.1061562883137799</v>
      </c>
      <c r="D15" s="47">
        <v>3.374424219224887</v>
      </c>
      <c r="E15" s="47">
        <v>3.1455411875230919</v>
      </c>
      <c r="F15" s="47">
        <v>3.3751093232163401</v>
      </c>
      <c r="G15" s="47">
        <v>3.6003956603936942</v>
      </c>
      <c r="H15" s="47">
        <v>3.3600062628875409</v>
      </c>
      <c r="I15" s="47">
        <v>18.359789923583051</v>
      </c>
    </row>
    <row r="16" spans="1:97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7" x14ac:dyDescent="0.25">
      <c r="A17" s="47">
        <v>400</v>
      </c>
      <c r="B17" s="47">
        <v>2.61199289622123</v>
      </c>
      <c r="C17" s="47">
        <v>3.166488404447477</v>
      </c>
      <c r="D17" s="47">
        <v>2.8095425758338801</v>
      </c>
      <c r="E17" s="47">
        <v>2.8712352959642971</v>
      </c>
      <c r="F17" s="47">
        <v>2.764704134589782</v>
      </c>
      <c r="G17" s="47">
        <v>2.670206361456775</v>
      </c>
      <c r="H17" s="47">
        <v>2.8156949447522401</v>
      </c>
      <c r="I17" s="47">
        <v>21.908981579048771</v>
      </c>
    </row>
    <row r="18" spans="1:97" x14ac:dyDescent="0.25">
      <c r="A18" s="47"/>
      <c r="B18" s="47"/>
      <c r="C18" s="47"/>
      <c r="D18" s="47"/>
      <c r="E18" s="47"/>
      <c r="F18" s="47"/>
      <c r="G18" s="47"/>
      <c r="H18" s="47"/>
      <c r="I18" s="47"/>
      <c r="K18" s="128" t="s">
        <v>16</v>
      </c>
      <c r="L18" s="126"/>
      <c r="M18" s="127"/>
    </row>
    <row r="19" spans="1:97" x14ac:dyDescent="0.25">
      <c r="A19" s="47">
        <v>500</v>
      </c>
      <c r="B19" s="47">
        <v>2.815029652656952</v>
      </c>
      <c r="C19" s="47">
        <v>2.9215618703636008</v>
      </c>
      <c r="D19" s="47">
        <v>2.62507532492593</v>
      </c>
      <c r="E19" s="47">
        <v>2.4921970337708261</v>
      </c>
      <c r="F19" s="47">
        <v>2.7405669810685591</v>
      </c>
      <c r="G19" s="47">
        <v>2.524528844875054</v>
      </c>
      <c r="H19" s="47">
        <v>2.6864932846101528</v>
      </c>
      <c r="I19" s="47">
        <v>22.962651043016891</v>
      </c>
      <c r="K19" s="104" t="s">
        <v>17</v>
      </c>
      <c r="L19" s="104" t="s">
        <v>18</v>
      </c>
      <c r="M19" s="103" t="s">
        <v>19</v>
      </c>
    </row>
    <row r="20" spans="1:97" x14ac:dyDescent="0.25">
      <c r="A20" s="47"/>
      <c r="B20" s="47"/>
      <c r="C20" s="47"/>
      <c r="D20" s="47"/>
      <c r="E20" s="47"/>
      <c r="F20" s="47"/>
      <c r="G20" s="47"/>
      <c r="H20" s="47"/>
      <c r="I20" s="47"/>
      <c r="K20" s="47">
        <v>100</v>
      </c>
      <c r="L20" s="47">
        <f>H5</f>
        <v>3.2281171836284162</v>
      </c>
      <c r="M20" s="102">
        <f>'Initial Parameters'!L16</f>
        <v>0</v>
      </c>
    </row>
    <row r="21" spans="1:97" x14ac:dyDescent="0.25">
      <c r="A21" s="47">
        <v>630</v>
      </c>
      <c r="B21" s="47">
        <v>2.3468345475559138</v>
      </c>
      <c r="C21" s="47">
        <v>2.2354697306669098</v>
      </c>
      <c r="D21" s="47">
        <v>2.238950408500251</v>
      </c>
      <c r="E21" s="47">
        <v>2.441190979559011</v>
      </c>
      <c r="F21" s="47">
        <v>2.1865787881807921</v>
      </c>
      <c r="G21" s="47">
        <v>2.2259041567794591</v>
      </c>
      <c r="H21" s="47">
        <v>2.2791547685403888</v>
      </c>
      <c r="I21" s="47">
        <v>27.066616000272909</v>
      </c>
      <c r="K21" s="47">
        <v>125</v>
      </c>
      <c r="L21" s="47">
        <f>H7</f>
        <v>3.8002219397843779</v>
      </c>
      <c r="M21" s="102">
        <f>'Initial Parameters'!L17</f>
        <v>0</v>
      </c>
    </row>
    <row r="22" spans="1:97" x14ac:dyDescent="0.25">
      <c r="A22" s="47"/>
      <c r="B22" s="47"/>
      <c r="C22" s="47"/>
      <c r="D22" s="47"/>
      <c r="E22" s="47"/>
      <c r="F22" s="47"/>
      <c r="G22" s="47"/>
      <c r="H22" s="47"/>
      <c r="I22" s="47"/>
      <c r="K22" s="47">
        <v>160</v>
      </c>
      <c r="L22" s="47">
        <f>H9</f>
        <v>3.233056838564881</v>
      </c>
      <c r="M22" s="102">
        <f>'Initial Parameters'!L18</f>
        <v>0</v>
      </c>
    </row>
    <row r="23" spans="1:97" x14ac:dyDescent="0.25">
      <c r="A23" s="47">
        <v>800</v>
      </c>
      <c r="B23" s="47">
        <v>1.8983433145973361</v>
      </c>
      <c r="C23" s="47">
        <v>2.0970392492982022</v>
      </c>
      <c r="D23" s="47">
        <v>2.2824095687161381</v>
      </c>
      <c r="E23" s="47">
        <v>2.0522449121237432</v>
      </c>
      <c r="F23" s="47">
        <v>2.1054193476736689</v>
      </c>
      <c r="G23" s="47">
        <v>1.9664473857466671</v>
      </c>
      <c r="H23" s="47">
        <v>2.066983963025959</v>
      </c>
      <c r="I23" s="47">
        <v>29.844936591368899</v>
      </c>
      <c r="K23" s="47">
        <v>200</v>
      </c>
      <c r="L23" s="47">
        <f>H11</f>
        <v>3.5095659103674901</v>
      </c>
      <c r="M23" s="102">
        <f>'Initial Parameters'!L19</f>
        <v>0</v>
      </c>
    </row>
    <row r="24" spans="1:97" x14ac:dyDescent="0.25">
      <c r="A24" s="47"/>
      <c r="B24" s="47"/>
      <c r="C24" s="47"/>
      <c r="D24" s="47"/>
      <c r="E24" s="47"/>
      <c r="F24" s="47"/>
      <c r="G24" s="47"/>
      <c r="H24" s="47"/>
      <c r="I24" s="47"/>
      <c r="K24" s="47">
        <v>250</v>
      </c>
      <c r="L24" s="47">
        <f>H13</f>
        <v>3.4124850805347702</v>
      </c>
      <c r="M24" s="102">
        <f>'Initial Parameters'!L20</f>
        <v>0</v>
      </c>
    </row>
    <row r="25" spans="1:97" x14ac:dyDescent="0.25">
      <c r="A25" s="47">
        <v>1000</v>
      </c>
      <c r="B25" s="47">
        <v>2.2388079047193261</v>
      </c>
      <c r="C25" s="47">
        <v>2.034334072348662</v>
      </c>
      <c r="D25" s="47">
        <v>2.3067617469772101</v>
      </c>
      <c r="E25" s="47">
        <v>1.9853555224431181</v>
      </c>
      <c r="F25" s="47">
        <v>2.1967175560331662</v>
      </c>
      <c r="G25" s="47">
        <v>2.0550237194548449</v>
      </c>
      <c r="H25" s="47">
        <v>2.1361667536627209</v>
      </c>
      <c r="I25" s="47">
        <v>28.878364513920491</v>
      </c>
      <c r="K25" s="47">
        <v>315</v>
      </c>
      <c r="L25" s="47">
        <f>H15</f>
        <v>3.3600062628875409</v>
      </c>
      <c r="M25" s="102">
        <f>'Initial Parameters'!L21</f>
        <v>0</v>
      </c>
    </row>
    <row r="26" spans="1:97" x14ac:dyDescent="0.25">
      <c r="A26" s="47"/>
      <c r="B26" s="47"/>
      <c r="C26" s="47"/>
      <c r="D26" s="47"/>
      <c r="E26" s="47"/>
      <c r="F26" s="47"/>
      <c r="G26" s="47"/>
      <c r="H26" s="47"/>
      <c r="I26" s="47"/>
      <c r="K26" s="47">
        <v>400</v>
      </c>
      <c r="L26" s="47">
        <f>H17</f>
        <v>2.8156949447522401</v>
      </c>
      <c r="M26" s="102">
        <f>'Initial Parameters'!L22</f>
        <v>0</v>
      </c>
    </row>
    <row r="27" spans="1:97" x14ac:dyDescent="0.25">
      <c r="A27" s="47">
        <v>1250</v>
      </c>
      <c r="B27" s="47">
        <v>1.9659085830616501</v>
      </c>
      <c r="C27" s="47">
        <v>2.1008089541582828</v>
      </c>
      <c r="D27" s="47">
        <v>2.124907185301808</v>
      </c>
      <c r="E27" s="47">
        <v>2.0483381467618722</v>
      </c>
      <c r="F27" s="47">
        <v>1.9453802107073059</v>
      </c>
      <c r="G27" s="47">
        <v>2.0642773851674221</v>
      </c>
      <c r="H27" s="47">
        <v>2.041603410859723</v>
      </c>
      <c r="I27" s="47">
        <v>30.215955646295829</v>
      </c>
      <c r="K27" s="47">
        <v>500</v>
      </c>
      <c r="L27" s="47">
        <f>H19</f>
        <v>2.6864932846101528</v>
      </c>
      <c r="M27" s="102">
        <f>'Initial Parameters'!L23</f>
        <v>0</v>
      </c>
    </row>
    <row r="28" spans="1:97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7">
        <v>630</v>
      </c>
      <c r="L28" s="47">
        <f>H21</f>
        <v>2.2791547685403888</v>
      </c>
      <c r="M28" s="102">
        <f>'Initial Parameters'!L24</f>
        <v>0</v>
      </c>
    </row>
    <row r="29" spans="1:97" x14ac:dyDescent="0.25">
      <c r="A29" s="47">
        <v>1600</v>
      </c>
      <c r="B29" s="47">
        <v>1.863967028715269</v>
      </c>
      <c r="C29" s="47">
        <v>1.901693753187317</v>
      </c>
      <c r="D29" s="47">
        <v>1.9750385398664749</v>
      </c>
      <c r="E29" s="47">
        <v>2.0764040890549049</v>
      </c>
      <c r="F29" s="47">
        <v>1.9445884296198781</v>
      </c>
      <c r="G29" s="47">
        <v>1.864609686780859</v>
      </c>
      <c r="H29" s="47">
        <v>1.937716921204117</v>
      </c>
      <c r="I29" s="47">
        <v>31.83591504277237</v>
      </c>
      <c r="K29" s="47">
        <v>800</v>
      </c>
      <c r="L29" s="47">
        <f>H23</f>
        <v>2.066983963025959</v>
      </c>
      <c r="M29" s="102">
        <f>'Initial Parameters'!L25</f>
        <v>0</v>
      </c>
    </row>
    <row r="30" spans="1:97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7">
        <v>1000</v>
      </c>
      <c r="L30" s="47">
        <f>H25</f>
        <v>2.1361667536627209</v>
      </c>
      <c r="M30" s="102">
        <f>'Initial Parameters'!L26</f>
        <v>0</v>
      </c>
    </row>
    <row r="31" spans="1:97" x14ac:dyDescent="0.25">
      <c r="A31" s="47">
        <v>2000</v>
      </c>
      <c r="B31" s="47">
        <v>1.936558553429619</v>
      </c>
      <c r="C31" s="47">
        <v>1.8601235449344571</v>
      </c>
      <c r="D31" s="47">
        <v>1.8943906788151761</v>
      </c>
      <c r="E31" s="47">
        <v>1.625496852402746</v>
      </c>
      <c r="F31" s="47">
        <v>1.886424929217996</v>
      </c>
      <c r="G31" s="47">
        <v>1.8100228270859291</v>
      </c>
      <c r="H31" s="47">
        <v>1.835502897647654</v>
      </c>
      <c r="I31" s="47">
        <v>33.60876312075915</v>
      </c>
      <c r="J31" s="1"/>
      <c r="K31" s="47">
        <v>1250</v>
      </c>
      <c r="L31" s="47">
        <f>H27</f>
        <v>2.041603410859723</v>
      </c>
      <c r="M31" s="102">
        <f>'Initial Parameters'!L27</f>
        <v>0</v>
      </c>
      <c r="P31" s="1"/>
      <c r="S31" s="1"/>
      <c r="V31" s="1"/>
      <c r="Y31" s="1"/>
      <c r="AB31" s="1"/>
      <c r="AE31" s="1"/>
      <c r="AH31" s="1"/>
      <c r="AK31" s="1"/>
      <c r="AN31" s="1"/>
      <c r="AQ31" s="1"/>
      <c r="AT31" s="1"/>
      <c r="AW31" s="1"/>
      <c r="AZ31" s="1"/>
      <c r="BC31" s="1"/>
      <c r="BF31" s="1"/>
      <c r="BI31" s="1"/>
      <c r="BL31" s="1"/>
      <c r="BO31" s="1"/>
      <c r="BR31" s="1"/>
      <c r="BU31" s="1"/>
      <c r="BX31" s="1"/>
      <c r="CA31" s="1"/>
      <c r="CD31" s="1"/>
      <c r="CG31" s="1"/>
      <c r="CJ31" s="1"/>
      <c r="CM31" s="1"/>
      <c r="CP31" s="1"/>
      <c r="CS31" s="1"/>
    </row>
    <row r="32" spans="1:97" x14ac:dyDescent="0.25">
      <c r="A32" s="47"/>
      <c r="B32" s="47"/>
      <c r="C32" s="47"/>
      <c r="D32" s="47"/>
      <c r="E32" s="47"/>
      <c r="F32" s="47"/>
      <c r="G32" s="47"/>
      <c r="H32" s="47"/>
      <c r="I32" s="47"/>
      <c r="K32" s="47">
        <v>1600</v>
      </c>
      <c r="L32" s="47">
        <f>H29</f>
        <v>1.937716921204117</v>
      </c>
      <c r="M32" s="102">
        <f>'Initial Parameters'!L28</f>
        <v>0</v>
      </c>
    </row>
    <row r="33" spans="1:97" x14ac:dyDescent="0.25">
      <c r="A33" s="47">
        <v>2500</v>
      </c>
      <c r="B33" s="47">
        <v>1.7580538439743649</v>
      </c>
      <c r="C33" s="47">
        <v>1.7121534365409641</v>
      </c>
      <c r="D33" s="47">
        <v>1.8935440109726289</v>
      </c>
      <c r="E33" s="47">
        <v>1.726068727976984</v>
      </c>
      <c r="F33" s="47">
        <v>1.6874061168918759</v>
      </c>
      <c r="G33" s="47">
        <v>1.72266854306638</v>
      </c>
      <c r="H33" s="47">
        <v>1.7499824465705329</v>
      </c>
      <c r="I33" s="47">
        <v>35.251192574587783</v>
      </c>
      <c r="K33" s="47">
        <v>2000</v>
      </c>
      <c r="L33" s="47">
        <f>H31</f>
        <v>1.835502897647654</v>
      </c>
      <c r="M33" s="102">
        <f>'Initial Parameters'!L29</f>
        <v>0</v>
      </c>
    </row>
    <row r="34" spans="1:97" x14ac:dyDescent="0.25">
      <c r="A34" s="47"/>
      <c r="B34" s="47"/>
      <c r="C34" s="47"/>
      <c r="D34" s="47"/>
      <c r="E34" s="47"/>
      <c r="F34" s="47"/>
      <c r="G34" s="47"/>
      <c r="H34" s="47"/>
      <c r="I34" s="47"/>
      <c r="K34" s="47">
        <v>2500</v>
      </c>
      <c r="L34" s="47">
        <f>H33</f>
        <v>1.7499824465705329</v>
      </c>
      <c r="M34" s="102">
        <f>'Initial Parameters'!L30</f>
        <v>0</v>
      </c>
    </row>
    <row r="35" spans="1:97" x14ac:dyDescent="0.25">
      <c r="A35" s="47">
        <v>3150</v>
      </c>
      <c r="B35" s="47">
        <v>1.667459486280028</v>
      </c>
      <c r="C35" s="47">
        <v>1.696993751744414</v>
      </c>
      <c r="D35" s="47">
        <v>1.673092695358023</v>
      </c>
      <c r="E35" s="47">
        <v>1.6745159693409819</v>
      </c>
      <c r="F35" s="47">
        <v>1.7098459941178239</v>
      </c>
      <c r="G35" s="47">
        <v>1.7129154052504501</v>
      </c>
      <c r="H35" s="47">
        <v>1.689137217015287</v>
      </c>
      <c r="I35" s="47">
        <v>36.520979553169013</v>
      </c>
      <c r="K35" s="47">
        <v>3150</v>
      </c>
      <c r="L35" s="47">
        <f>H35</f>
        <v>1.689137217015287</v>
      </c>
      <c r="M35" s="102">
        <f>'Initial Parameters'!L31</f>
        <v>0</v>
      </c>
    </row>
    <row r="36" spans="1:97" x14ac:dyDescent="0.25">
      <c r="A36" s="47"/>
      <c r="B36" s="47"/>
      <c r="C36" s="47"/>
      <c r="D36" s="47"/>
      <c r="E36" s="47"/>
      <c r="F36" s="47"/>
      <c r="G36" s="47"/>
      <c r="H36" s="47"/>
      <c r="I36" s="47"/>
      <c r="K36" s="47">
        <v>4000</v>
      </c>
      <c r="L36" s="47">
        <f>H37</f>
        <v>1.566248293281024</v>
      </c>
      <c r="M36" s="102">
        <f>'Initial Parameters'!L32</f>
        <v>0</v>
      </c>
    </row>
    <row r="37" spans="1:97" x14ac:dyDescent="0.25">
      <c r="A37" s="47">
        <v>4000</v>
      </c>
      <c r="B37" s="47">
        <v>1.5671973906865679</v>
      </c>
      <c r="C37" s="47">
        <v>1.534858663785625</v>
      </c>
      <c r="D37" s="47">
        <v>1.5332228476175349</v>
      </c>
      <c r="E37" s="47">
        <v>1.537878660348228</v>
      </c>
      <c r="F37" s="47">
        <v>1.614267146319879</v>
      </c>
      <c r="G37" s="47">
        <v>1.610065050928313</v>
      </c>
      <c r="H37" s="47">
        <v>1.566248293281024</v>
      </c>
      <c r="I37" s="47">
        <v>39.386420413932917</v>
      </c>
      <c r="K37" s="47">
        <v>5000</v>
      </c>
      <c r="L37" s="47">
        <f>H39</f>
        <v>1.444403817730497</v>
      </c>
      <c r="M37" s="102">
        <f>'Initial Parameters'!L33</f>
        <v>0</v>
      </c>
    </row>
    <row r="38" spans="1:9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1"/>
      <c r="P38" s="1"/>
      <c r="S38" s="1"/>
      <c r="V38" s="1"/>
      <c r="Y38" s="1"/>
      <c r="AB38" s="1"/>
      <c r="AE38" s="1"/>
      <c r="AH38" s="1"/>
      <c r="AK38" s="1"/>
      <c r="AN38" s="1"/>
      <c r="AQ38" s="1"/>
      <c r="AT38" s="1"/>
      <c r="AW38" s="1"/>
      <c r="AZ38" s="1"/>
      <c r="BC38" s="1"/>
      <c r="BF38" s="1"/>
      <c r="BI38" s="1"/>
      <c r="BL38" s="1"/>
      <c r="BO38" s="1"/>
      <c r="BR38" s="1"/>
      <c r="BU38" s="1"/>
      <c r="BX38" s="1"/>
      <c r="CA38" s="1"/>
      <c r="CD38" s="1"/>
      <c r="CG38" s="1"/>
      <c r="CJ38" s="1"/>
      <c r="CM38" s="1"/>
      <c r="CP38" s="1"/>
      <c r="CS38" s="1"/>
    </row>
    <row r="39" spans="1:97" x14ac:dyDescent="0.25">
      <c r="A39" s="47">
        <v>5000</v>
      </c>
      <c r="B39" s="47">
        <v>1.4532521726320009</v>
      </c>
      <c r="C39" s="47">
        <v>1.4305426279767071</v>
      </c>
      <c r="D39" s="47">
        <v>1.4258594840192651</v>
      </c>
      <c r="E39" s="47">
        <v>1.4516421810304689</v>
      </c>
      <c r="F39" s="47">
        <v>1.457069735286548</v>
      </c>
      <c r="G39" s="47">
        <v>1.44805670543799</v>
      </c>
      <c r="H39" s="47">
        <v>1.444403817730497</v>
      </c>
      <c r="I39" s="47">
        <v>42.708881250073169</v>
      </c>
      <c r="J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</row>
    <row r="41" spans="1:97" ht="27.6" customHeight="1" x14ac:dyDescent="0.25">
      <c r="B41" s="68" t="s">
        <v>20</v>
      </c>
      <c r="C41" s="68" t="s">
        <v>21</v>
      </c>
      <c r="D41" s="73" t="s">
        <v>22</v>
      </c>
    </row>
    <row r="42" spans="1:97" x14ac:dyDescent="0.25">
      <c r="B42" s="68"/>
      <c r="C42" s="68"/>
      <c r="D42" s="68"/>
    </row>
    <row r="43" spans="1:97" x14ac:dyDescent="0.25">
      <c r="A43" t="s">
        <v>23</v>
      </c>
      <c r="B43" s="68" t="s">
        <v>24</v>
      </c>
      <c r="C43" s="68" t="s">
        <v>25</v>
      </c>
      <c r="D43" s="68" t="s">
        <v>26</v>
      </c>
    </row>
    <row r="44" spans="1:97" x14ac:dyDescent="0.25">
      <c r="C44" s="10"/>
      <c r="D44" s="10"/>
      <c r="E44" s="105"/>
    </row>
    <row r="45" spans="1:97" x14ac:dyDescent="0.25">
      <c r="C45" s="10"/>
      <c r="D45" s="10"/>
      <c r="E45" s="105"/>
    </row>
    <row r="46" spans="1:97" x14ac:dyDescent="0.25">
      <c r="C46" s="10"/>
      <c r="D46" s="10"/>
      <c r="E46" s="105"/>
    </row>
    <row r="47" spans="1:97" x14ac:dyDescent="0.25">
      <c r="C47" s="10"/>
      <c r="D47" s="10"/>
      <c r="E47" s="105"/>
    </row>
    <row r="48" spans="1:97" x14ac:dyDescent="0.25">
      <c r="C48" s="10"/>
      <c r="D48" s="10"/>
      <c r="E48" s="105"/>
    </row>
    <row r="49" spans="1:97" x14ac:dyDescent="0.25">
      <c r="C49" s="10"/>
      <c r="D49" s="10"/>
      <c r="E49" s="105"/>
      <c r="J49" s="1"/>
      <c r="M49" s="1"/>
      <c r="P49" s="1"/>
      <c r="S49" s="1"/>
      <c r="V49" s="1"/>
      <c r="Y49" s="1"/>
      <c r="AB49" s="1"/>
      <c r="AE49" s="1"/>
      <c r="AH49" s="1"/>
      <c r="AK49" s="1"/>
      <c r="AN49" s="1"/>
      <c r="AQ49" s="1"/>
      <c r="AT49" s="1"/>
      <c r="AW49" s="1"/>
      <c r="AZ49" s="1"/>
      <c r="BC49" s="1"/>
      <c r="BF49" s="1"/>
      <c r="BI49" s="1"/>
      <c r="BL49" s="1"/>
      <c r="BO49" s="1"/>
      <c r="BR49" s="1"/>
      <c r="BU49" s="1"/>
      <c r="BX49" s="1"/>
      <c r="CA49" s="1"/>
      <c r="CD49" s="1"/>
      <c r="CG49" s="1"/>
      <c r="CJ49" s="1"/>
      <c r="CM49" s="1"/>
      <c r="CP49" s="1"/>
      <c r="CS49" s="1"/>
    </row>
    <row r="50" spans="1:97" x14ac:dyDescent="0.25">
      <c r="A50" s="1"/>
      <c r="C50" s="10"/>
      <c r="D50" s="3"/>
      <c r="E50" s="105"/>
      <c r="G50" s="1"/>
    </row>
    <row r="51" spans="1:97" x14ac:dyDescent="0.25">
      <c r="C51" s="10"/>
      <c r="D51" s="10"/>
      <c r="E51" s="105"/>
    </row>
    <row r="52" spans="1:97" x14ac:dyDescent="0.25">
      <c r="C52" s="10"/>
      <c r="D52" s="10"/>
      <c r="E52" s="105"/>
    </row>
    <row r="53" spans="1:97" x14ac:dyDescent="0.25">
      <c r="C53" s="10"/>
      <c r="D53" s="10"/>
      <c r="E53" s="105"/>
    </row>
    <row r="54" spans="1:97" x14ac:dyDescent="0.25">
      <c r="C54" s="10"/>
      <c r="D54" s="10"/>
      <c r="E54" s="105"/>
    </row>
    <row r="55" spans="1:97" x14ac:dyDescent="0.25">
      <c r="C55" s="10"/>
      <c r="D55" s="10"/>
      <c r="E55" s="105"/>
    </row>
    <row r="56" spans="1:97" x14ac:dyDescent="0.25">
      <c r="C56" s="10"/>
      <c r="D56" s="10"/>
      <c r="E56" s="105"/>
    </row>
    <row r="57" spans="1:97" x14ac:dyDescent="0.25">
      <c r="C57" s="10"/>
      <c r="D57" s="10"/>
      <c r="E57" s="105"/>
    </row>
    <row r="58" spans="1:97" x14ac:dyDescent="0.25">
      <c r="C58" s="10"/>
      <c r="D58" s="10"/>
      <c r="E58" s="105"/>
    </row>
    <row r="59" spans="1:97" x14ac:dyDescent="0.25">
      <c r="C59" s="10"/>
      <c r="D59" s="10"/>
      <c r="E59" s="105"/>
    </row>
    <row r="60" spans="1:97" x14ac:dyDescent="0.25">
      <c r="C60" s="10"/>
      <c r="D60" s="10"/>
      <c r="E60" s="105"/>
    </row>
    <row r="61" spans="1:97" x14ac:dyDescent="0.25">
      <c r="C61" s="10"/>
      <c r="D61" s="10"/>
      <c r="E61" s="105"/>
    </row>
    <row r="62" spans="1:97" x14ac:dyDescent="0.25">
      <c r="C62" s="10"/>
      <c r="D62" s="10"/>
      <c r="E62" s="105"/>
    </row>
    <row r="63" spans="1:97" x14ac:dyDescent="0.25">
      <c r="C63" s="10"/>
      <c r="D63" s="10"/>
      <c r="E63" s="105"/>
    </row>
    <row r="64" spans="1:97" x14ac:dyDescent="0.25">
      <c r="C64" s="10"/>
      <c r="D64" s="10"/>
      <c r="E64" s="105"/>
    </row>
    <row r="65" spans="3:5" x14ac:dyDescent="0.25">
      <c r="C65" s="10"/>
      <c r="D65" s="10"/>
      <c r="E65" s="105"/>
    </row>
    <row r="66" spans="3:5" x14ac:dyDescent="0.25">
      <c r="C66" s="10"/>
      <c r="D66" s="10"/>
      <c r="E66" s="105"/>
    </row>
    <row r="67" spans="3:5" x14ac:dyDescent="0.25">
      <c r="C67" s="10"/>
      <c r="D67" s="10"/>
      <c r="E67" s="105"/>
    </row>
    <row r="68" spans="3:5" x14ac:dyDescent="0.25">
      <c r="C68" s="10"/>
      <c r="D68" s="10"/>
      <c r="E68" s="105"/>
    </row>
    <row r="69" spans="3:5" x14ac:dyDescent="0.25">
      <c r="C69" s="10"/>
      <c r="D69" s="10"/>
      <c r="E69" s="105"/>
    </row>
    <row r="70" spans="3:5" x14ac:dyDescent="0.25">
      <c r="C70" s="10"/>
      <c r="D70" s="10"/>
      <c r="E70" s="105"/>
    </row>
    <row r="71" spans="3:5" x14ac:dyDescent="0.25">
      <c r="C71" s="10"/>
      <c r="D71" s="10"/>
      <c r="E71" s="105"/>
    </row>
    <row r="72" spans="3:5" x14ac:dyDescent="0.25">
      <c r="C72" s="10"/>
      <c r="D72" s="10"/>
      <c r="E72" s="105"/>
    </row>
    <row r="73" spans="3:5" x14ac:dyDescent="0.25">
      <c r="C73" s="10"/>
      <c r="D73" s="10"/>
      <c r="E73" s="105"/>
    </row>
    <row r="74" spans="3:5" x14ac:dyDescent="0.25">
      <c r="C74" s="10"/>
      <c r="D74" s="10"/>
      <c r="E74" s="105"/>
    </row>
    <row r="75" spans="3:5" x14ac:dyDescent="0.25">
      <c r="C75" s="10"/>
      <c r="D75" s="10"/>
      <c r="E75" s="105"/>
    </row>
    <row r="76" spans="3:5" x14ac:dyDescent="0.25">
      <c r="C76" s="10"/>
      <c r="D76" s="10"/>
      <c r="E76" s="105"/>
    </row>
    <row r="77" spans="3:5" x14ac:dyDescent="0.25">
      <c r="C77" s="10"/>
      <c r="D77" s="10"/>
      <c r="E77" s="105"/>
    </row>
    <row r="78" spans="3:5" x14ac:dyDescent="0.25">
      <c r="C78" s="10"/>
      <c r="D78" s="10"/>
      <c r="E78" s="105"/>
    </row>
    <row r="79" spans="3:5" x14ac:dyDescent="0.25">
      <c r="C79" s="10"/>
      <c r="D79" s="10"/>
      <c r="E79" s="105"/>
    </row>
    <row r="80" spans="3:5" x14ac:dyDescent="0.25">
      <c r="C80" s="10"/>
      <c r="D80" s="10"/>
      <c r="E80" s="105"/>
    </row>
    <row r="81" spans="1:98" x14ac:dyDescent="0.25">
      <c r="C81" s="10"/>
      <c r="D81" s="10"/>
      <c r="E81" s="105"/>
    </row>
    <row r="82" spans="1:98" x14ac:dyDescent="0.25">
      <c r="C82" s="10"/>
      <c r="D82" s="10"/>
      <c r="E82" s="105"/>
    </row>
    <row r="83" spans="1:98" x14ac:dyDescent="0.25">
      <c r="C83" s="10"/>
      <c r="D83" s="10"/>
      <c r="E83" s="105"/>
    </row>
    <row r="84" spans="1:98" x14ac:dyDescent="0.25">
      <c r="C84" s="10"/>
      <c r="D84" s="10"/>
      <c r="E84" s="105"/>
      <c r="K84" s="1"/>
      <c r="N84" s="1"/>
      <c r="Q84" s="1"/>
      <c r="T84" s="1"/>
      <c r="W84" s="1"/>
      <c r="Z84" s="1"/>
      <c r="AC84" s="1"/>
      <c r="AF84" s="1"/>
      <c r="AI84" s="1"/>
      <c r="AL84" s="1"/>
      <c r="AO84" s="1"/>
      <c r="AR84" s="1"/>
      <c r="AU84" s="1"/>
      <c r="AX84" s="1"/>
      <c r="BA84" s="1"/>
      <c r="BD84" s="1"/>
      <c r="BG84" s="1"/>
      <c r="BJ84" s="1"/>
      <c r="BM84" s="1"/>
      <c r="BP84" s="1"/>
      <c r="BS84" s="1"/>
      <c r="BV84" s="1"/>
      <c r="BY84" s="1"/>
      <c r="CB84" s="1"/>
      <c r="CE84" s="1"/>
      <c r="CH84" s="1"/>
      <c r="CK84" s="1"/>
      <c r="CN84" s="1"/>
      <c r="CQ84" s="1"/>
      <c r="CT84" s="1"/>
    </row>
    <row r="85" spans="1:98" x14ac:dyDescent="0.25">
      <c r="B85" s="1"/>
      <c r="C85" s="3"/>
      <c r="D85" s="10"/>
      <c r="E85" s="105"/>
      <c r="H85" s="1"/>
      <c r="J85" s="1"/>
      <c r="K85" s="1"/>
      <c r="M85" s="1"/>
      <c r="N85" s="1"/>
      <c r="P85" s="1"/>
      <c r="Q85" s="1"/>
      <c r="S85" s="1"/>
      <c r="T85" s="1"/>
      <c r="V85" s="1"/>
      <c r="W85" s="1"/>
      <c r="Y85" s="1"/>
      <c r="Z85" s="1"/>
      <c r="AB85" s="1"/>
      <c r="AC85" s="1"/>
      <c r="AE85" s="1"/>
      <c r="AF85" s="1"/>
      <c r="AH85" s="1"/>
      <c r="AI85" s="1"/>
      <c r="AK85" s="1"/>
      <c r="AL85" s="1"/>
      <c r="AN85" s="1"/>
      <c r="AO85" s="1"/>
      <c r="AQ85" s="1"/>
      <c r="AR85" s="1"/>
      <c r="AT85" s="1"/>
      <c r="AU85" s="1"/>
      <c r="AW85" s="1"/>
      <c r="AX85" s="1"/>
      <c r="AZ85" s="1"/>
      <c r="BA85" s="1"/>
      <c r="BC85" s="1"/>
      <c r="BD85" s="1"/>
      <c r="BF85" s="1"/>
      <c r="BG85" s="1"/>
      <c r="BI85" s="1"/>
      <c r="BJ85" s="1"/>
      <c r="BL85" s="1"/>
      <c r="BM85" s="1"/>
      <c r="BO85" s="1"/>
      <c r="BP85" s="1"/>
      <c r="BR85" s="1"/>
      <c r="BS85" s="1"/>
      <c r="BU85" s="1"/>
      <c r="BV85" s="1"/>
      <c r="BX85" s="1"/>
      <c r="BY85" s="1"/>
      <c r="CA85" s="1"/>
      <c r="CB85" s="1"/>
      <c r="CD85" s="1"/>
      <c r="CE85" s="1"/>
      <c r="CG85" s="1"/>
      <c r="CH85" s="1"/>
      <c r="CJ85" s="1"/>
      <c r="CK85" s="1"/>
      <c r="CM85" s="1"/>
      <c r="CN85" s="1"/>
      <c r="CP85" s="1"/>
      <c r="CQ85" s="1"/>
      <c r="CS85" s="1"/>
      <c r="CT85" s="1"/>
    </row>
    <row r="86" spans="1:98" x14ac:dyDescent="0.25">
      <c r="A86" s="1"/>
      <c r="B86" s="1"/>
      <c r="C86" s="3"/>
      <c r="D86" s="3"/>
      <c r="E86" s="105"/>
      <c r="G86" s="1"/>
      <c r="H86" s="1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</row>
    <row r="87" spans="1:98" x14ac:dyDescent="0.25">
      <c r="A87" s="1"/>
      <c r="B87" s="1"/>
      <c r="C87" s="3"/>
      <c r="D87" s="3"/>
      <c r="E87" s="105"/>
      <c r="G87" s="1"/>
      <c r="H87" s="1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</row>
    <row r="88" spans="1:98" x14ac:dyDescent="0.25">
      <c r="A88" s="1"/>
      <c r="B88" s="1"/>
      <c r="C88" s="3"/>
      <c r="D88" s="3"/>
      <c r="E88" s="105"/>
      <c r="G88" s="1"/>
      <c r="H88" s="1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</row>
    <row r="89" spans="1:98" x14ac:dyDescent="0.25">
      <c r="A89" s="1"/>
      <c r="B89" s="1"/>
      <c r="C89" s="3"/>
      <c r="D89" s="3"/>
      <c r="E89" s="105"/>
      <c r="G89" s="1"/>
      <c r="H89" s="1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</row>
    <row r="90" spans="1:98" x14ac:dyDescent="0.25">
      <c r="A90" s="1"/>
      <c r="B90" s="1"/>
      <c r="C90" s="3"/>
      <c r="D90" s="3"/>
      <c r="E90" s="105"/>
      <c r="G90" s="1"/>
      <c r="H90" s="1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</row>
    <row r="91" spans="1:98" x14ac:dyDescent="0.25">
      <c r="A91" s="1"/>
      <c r="B91" s="1"/>
      <c r="C91" s="3"/>
      <c r="D91" s="3"/>
      <c r="E91" s="105"/>
      <c r="G91" s="1"/>
      <c r="H91" s="1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</row>
    <row r="92" spans="1:98" x14ac:dyDescent="0.25">
      <c r="A92" s="1"/>
      <c r="B92" s="1"/>
      <c r="C92" s="3"/>
      <c r="D92" s="3"/>
      <c r="E92" s="105"/>
      <c r="G92" s="1"/>
      <c r="H92" s="1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</row>
    <row r="93" spans="1:98" x14ac:dyDescent="0.25">
      <c r="A93" s="1"/>
      <c r="B93" s="1"/>
      <c r="C93" s="3"/>
      <c r="D93" s="3"/>
      <c r="E93" s="105"/>
      <c r="G93" s="1"/>
      <c r="H93" s="1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</row>
    <row r="94" spans="1:98" x14ac:dyDescent="0.25">
      <c r="A94" s="1"/>
      <c r="B94" s="1"/>
      <c r="C94" s="3"/>
      <c r="D94" s="3"/>
      <c r="E94" s="105"/>
      <c r="G94" s="1"/>
      <c r="H94" s="1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</row>
    <row r="95" spans="1:98" x14ac:dyDescent="0.25">
      <c r="A95" s="1"/>
      <c r="B95" s="1"/>
      <c r="C95" s="3"/>
      <c r="D95" s="3"/>
      <c r="E95" s="105"/>
      <c r="G95" s="1"/>
      <c r="H95" s="1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</row>
    <row r="96" spans="1:98" x14ac:dyDescent="0.25">
      <c r="A96" s="1"/>
      <c r="B96" s="1"/>
      <c r="C96" s="3"/>
      <c r="D96" s="3"/>
      <c r="E96" s="105"/>
      <c r="G96" s="1"/>
      <c r="H96" s="1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</row>
    <row r="97" spans="1:98" x14ac:dyDescent="0.25">
      <c r="A97" s="1"/>
      <c r="B97" s="1"/>
      <c r="C97" s="3"/>
      <c r="D97" s="3"/>
      <c r="E97" s="105"/>
      <c r="G97" s="1"/>
      <c r="H97" s="1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</row>
    <row r="98" spans="1:98" x14ac:dyDescent="0.25">
      <c r="A98" s="1"/>
      <c r="B98" s="1"/>
      <c r="C98" s="3"/>
      <c r="D98" s="3"/>
      <c r="E98" s="105"/>
      <c r="G98" s="1"/>
      <c r="H98" s="1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</row>
    <row r="99" spans="1:98" x14ac:dyDescent="0.25">
      <c r="A99" s="1"/>
      <c r="B99" s="1"/>
      <c r="C99" s="3"/>
      <c r="D99" s="3"/>
      <c r="E99" s="105"/>
      <c r="G99" s="1"/>
      <c r="H99" s="1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</row>
    <row r="100" spans="1:98" x14ac:dyDescent="0.25">
      <c r="A100" s="1"/>
      <c r="B100" s="1"/>
      <c r="C100" s="3"/>
      <c r="D100" s="3"/>
      <c r="E100" s="105"/>
      <c r="G100" s="1"/>
      <c r="H100" s="1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</row>
    <row r="101" spans="1:98" x14ac:dyDescent="0.25">
      <c r="A101" s="1"/>
      <c r="B101" s="1"/>
      <c r="C101" s="3"/>
      <c r="D101" s="3"/>
      <c r="E101" s="105"/>
      <c r="G101" s="1"/>
      <c r="H101" s="1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</row>
    <row r="102" spans="1:98" x14ac:dyDescent="0.25">
      <c r="A102" s="1"/>
      <c r="B102" s="1"/>
      <c r="C102" s="3"/>
      <c r="D102" s="3"/>
      <c r="E102" s="105"/>
      <c r="G102" s="1"/>
      <c r="H102" s="1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</row>
    <row r="103" spans="1:98" x14ac:dyDescent="0.25">
      <c r="A103" s="1"/>
      <c r="B103" s="1"/>
      <c r="C103" s="3"/>
      <c r="D103" s="3"/>
      <c r="E103" s="105"/>
      <c r="G103" s="1"/>
      <c r="H103" s="1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</row>
    <row r="104" spans="1:98" x14ac:dyDescent="0.25">
      <c r="A104" s="1"/>
      <c r="B104" s="1"/>
      <c r="C104" s="3"/>
      <c r="D104" s="3"/>
      <c r="E104" s="105"/>
      <c r="G104" s="1"/>
      <c r="H104" s="1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</row>
    <row r="105" spans="1:98" x14ac:dyDescent="0.25">
      <c r="A105" s="1"/>
      <c r="B105" s="1"/>
      <c r="C105" s="3"/>
      <c r="D105" s="3"/>
      <c r="E105" s="105"/>
      <c r="G105" s="1"/>
      <c r="H105" s="1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</row>
    <row r="106" spans="1:98" x14ac:dyDescent="0.25">
      <c r="A106" s="1"/>
      <c r="B106" s="1"/>
      <c r="C106" s="3"/>
      <c r="D106" s="3"/>
      <c r="E106" s="105"/>
      <c r="G106" s="1"/>
      <c r="H106" s="1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</row>
    <row r="107" spans="1:98" x14ac:dyDescent="0.25">
      <c r="A107" s="1"/>
      <c r="B107" s="1"/>
      <c r="C107" s="3"/>
      <c r="D107" s="3"/>
      <c r="E107" s="105"/>
      <c r="G107" s="1"/>
      <c r="H107" s="1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</row>
    <row r="108" spans="1:98" x14ac:dyDescent="0.25">
      <c r="A108" s="1"/>
      <c r="B108" s="1"/>
      <c r="C108" s="3"/>
      <c r="D108" s="3"/>
      <c r="E108" s="105"/>
      <c r="G108" s="1"/>
      <c r="H108" s="1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</row>
    <row r="109" spans="1:98" x14ac:dyDescent="0.25">
      <c r="A109" s="1"/>
      <c r="B109" s="1"/>
      <c r="C109" s="3"/>
      <c r="D109" s="3"/>
      <c r="E109" s="105"/>
      <c r="G109" s="1"/>
      <c r="H109" s="1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</row>
    <row r="110" spans="1:98" x14ac:dyDescent="0.25">
      <c r="A110" s="1"/>
      <c r="B110" s="1"/>
      <c r="C110" s="10"/>
      <c r="D110" s="10"/>
      <c r="E110" s="105"/>
      <c r="G110" s="1"/>
      <c r="H110" s="1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</row>
    <row r="111" spans="1:98" x14ac:dyDescent="0.25">
      <c r="A111" s="1"/>
      <c r="B111" s="1"/>
      <c r="C111" s="10"/>
      <c r="D111" s="10"/>
      <c r="E111" s="105"/>
      <c r="G111" s="1"/>
      <c r="H111" s="1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</row>
    <row r="112" spans="1:98" x14ac:dyDescent="0.25">
      <c r="A112" s="1"/>
      <c r="B112" s="1"/>
      <c r="C112" s="10"/>
      <c r="D112" s="10"/>
      <c r="E112" s="105"/>
      <c r="G112" s="1"/>
      <c r="H112" s="1"/>
    </row>
    <row r="113" spans="3:5" x14ac:dyDescent="0.25">
      <c r="C113" s="10"/>
      <c r="D113" s="10"/>
      <c r="E113" s="105"/>
    </row>
    <row r="114" spans="3:5" x14ac:dyDescent="0.25">
      <c r="C114" s="10"/>
      <c r="D114" s="10"/>
      <c r="E114" s="105"/>
    </row>
    <row r="115" spans="3:5" x14ac:dyDescent="0.25">
      <c r="C115" s="10"/>
      <c r="D115" s="10"/>
      <c r="E115" s="105"/>
    </row>
    <row r="116" spans="3:5" x14ac:dyDescent="0.25">
      <c r="C116" s="10"/>
      <c r="D116" s="10"/>
      <c r="E116" s="105"/>
    </row>
    <row r="117" spans="3:5" x14ac:dyDescent="0.25">
      <c r="C117" s="10"/>
      <c r="D117" s="10"/>
      <c r="E117" s="105"/>
    </row>
    <row r="118" spans="3:5" x14ac:dyDescent="0.25">
      <c r="C118" s="10"/>
      <c r="D118" s="10"/>
      <c r="E118" s="105"/>
    </row>
    <row r="119" spans="3:5" x14ac:dyDescent="0.25">
      <c r="C119" s="105"/>
      <c r="D119" s="105"/>
      <c r="E119" s="105"/>
    </row>
    <row r="120" spans="3:5" x14ac:dyDescent="0.25">
      <c r="C120" s="105"/>
      <c r="D120" s="105"/>
      <c r="E120" s="105"/>
    </row>
    <row r="121" spans="3:5" x14ac:dyDescent="0.25">
      <c r="C121" s="105"/>
      <c r="D121" s="105"/>
      <c r="E121" s="105"/>
    </row>
    <row r="122" spans="3:5" x14ac:dyDescent="0.25">
      <c r="C122" s="105"/>
      <c r="D122" s="105"/>
      <c r="E122" s="105"/>
    </row>
    <row r="123" spans="3:5" x14ac:dyDescent="0.25">
      <c r="C123" s="105"/>
      <c r="D123" s="105"/>
      <c r="E123" s="105"/>
    </row>
  </sheetData>
  <mergeCells count="2">
    <mergeCell ref="A1:I1"/>
    <mergeCell ref="K18:M18"/>
  </mergeCells>
  <conditionalFormatting sqref="M20:M37">
    <cfRule type="cellIs" dxfId="4" priority="1" operator="lessThan">
      <formula>1</formula>
    </cfRule>
    <cfRule type="cellIs" dxfId="3" priority="2" operator="equal">
      <formula>1</formula>
    </cfRule>
  </conditionalFormatting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W123"/>
  <sheetViews>
    <sheetView workbookViewId="0">
      <selection activeCell="E43" sqref="E43"/>
    </sheetView>
  </sheetViews>
  <sheetFormatPr defaultRowHeight="15" x14ac:dyDescent="0.25"/>
  <cols>
    <col min="1" max="1" width="14.5703125" style="6" bestFit="1" customWidth="1"/>
    <col min="6" max="6" width="12" style="6" bestFit="1" customWidth="1"/>
  </cols>
  <sheetData>
    <row r="1" spans="1:100" ht="21.6" customHeight="1" thickBot="1" x14ac:dyDescent="0.4">
      <c r="D1" s="129" t="s">
        <v>27</v>
      </c>
      <c r="E1" s="130"/>
      <c r="F1" s="130"/>
      <c r="G1" s="130"/>
      <c r="H1" s="130"/>
      <c r="I1" s="130"/>
      <c r="J1" s="130"/>
      <c r="K1" s="130"/>
      <c r="L1" s="131"/>
    </row>
    <row r="2" spans="1:100" ht="21" customHeight="1" x14ac:dyDescent="0.35">
      <c r="D2" s="59"/>
      <c r="E2" s="60" t="s">
        <v>28</v>
      </c>
      <c r="F2" s="60" t="s">
        <v>29</v>
      </c>
      <c r="G2" s="60" t="s">
        <v>30</v>
      </c>
      <c r="H2" s="60" t="s">
        <v>31</v>
      </c>
      <c r="I2" s="60" t="s">
        <v>32</v>
      </c>
      <c r="J2" s="60" t="s">
        <v>33</v>
      </c>
      <c r="K2" s="61"/>
      <c r="L2" s="62"/>
    </row>
    <row r="3" spans="1:100" x14ac:dyDescent="0.25">
      <c r="D3" s="63" t="s">
        <v>7</v>
      </c>
      <c r="E3" s="47" t="s">
        <v>8</v>
      </c>
      <c r="F3" s="47" t="s">
        <v>9</v>
      </c>
      <c r="G3" s="47" t="s">
        <v>10</v>
      </c>
      <c r="H3" s="47" t="s">
        <v>11</v>
      </c>
      <c r="I3" s="47" t="s">
        <v>12</v>
      </c>
      <c r="J3" s="47" t="s">
        <v>13</v>
      </c>
      <c r="K3" s="47" t="s">
        <v>14</v>
      </c>
      <c r="L3" s="64" t="s">
        <v>15</v>
      </c>
    </row>
    <row r="4" spans="1:100" x14ac:dyDescent="0.25">
      <c r="D4" s="63"/>
      <c r="E4" s="47"/>
      <c r="F4" s="47"/>
      <c r="G4" s="47"/>
      <c r="H4" s="47"/>
      <c r="I4" s="47"/>
      <c r="J4" s="47"/>
      <c r="K4" s="47"/>
      <c r="L4" s="64"/>
    </row>
    <row r="5" spans="1:100" x14ac:dyDescent="0.25">
      <c r="D5" s="63">
        <v>100</v>
      </c>
      <c r="E5" s="47">
        <v>3.5095274499389002</v>
      </c>
      <c r="F5" s="47">
        <v>2.9808321087549299</v>
      </c>
      <c r="G5" s="47">
        <v>3.1390754524623898</v>
      </c>
      <c r="H5" s="47">
        <v>3.3928788402347498</v>
      </c>
      <c r="I5" s="47">
        <v>2.7779926380403999</v>
      </c>
      <c r="J5" s="47">
        <v>2.7118977336656198</v>
      </c>
      <c r="K5" s="47">
        <v>3.0853673705161699</v>
      </c>
      <c r="L5" s="64">
        <v>44.231533589231802</v>
      </c>
    </row>
    <row r="6" spans="1:100" x14ac:dyDescent="0.25">
      <c r="D6" s="63"/>
      <c r="E6" s="47"/>
      <c r="F6" s="47"/>
      <c r="G6" s="47"/>
      <c r="H6" s="47"/>
      <c r="I6" s="47"/>
      <c r="J6" s="47"/>
      <c r="K6" s="47"/>
      <c r="L6" s="64"/>
    </row>
    <row r="7" spans="1:100" ht="15" customHeight="1" thickBot="1" x14ac:dyDescent="0.3">
      <c r="D7" s="63">
        <v>125</v>
      </c>
      <c r="E7" s="47">
        <v>2.4279120760144801</v>
      </c>
      <c r="F7" s="47">
        <v>2.5057463824931698</v>
      </c>
      <c r="G7" s="47">
        <v>2.7524983973940902</v>
      </c>
      <c r="H7" s="47">
        <v>3.1341308035967299</v>
      </c>
      <c r="I7" s="47">
        <v>2.8188856975963699</v>
      </c>
      <c r="J7" s="47">
        <v>2.52238994231779</v>
      </c>
      <c r="K7" s="47">
        <v>2.6935938832354398</v>
      </c>
      <c r="L7" s="64">
        <v>50.664850124414698</v>
      </c>
    </row>
    <row r="8" spans="1:100" x14ac:dyDescent="0.25">
      <c r="A8" s="132" t="s">
        <v>16</v>
      </c>
      <c r="B8" s="131"/>
      <c r="D8" s="63"/>
      <c r="E8" s="47"/>
      <c r="F8" s="47"/>
      <c r="G8" s="47"/>
      <c r="H8" s="47"/>
      <c r="I8" s="47"/>
      <c r="J8" s="47"/>
      <c r="K8" s="47"/>
      <c r="L8" s="64"/>
    </row>
    <row r="9" spans="1:100" x14ac:dyDescent="0.25">
      <c r="A9" s="57" t="s">
        <v>17</v>
      </c>
      <c r="B9" s="58" t="s">
        <v>18</v>
      </c>
      <c r="D9" s="63">
        <v>160</v>
      </c>
      <c r="E9" s="47">
        <v>3.0474098412092299</v>
      </c>
      <c r="F9" s="47">
        <v>2.5507763709573901</v>
      </c>
      <c r="G9" s="47">
        <v>3.2665920485704101</v>
      </c>
      <c r="H9" s="47">
        <v>3.4059653284180098</v>
      </c>
      <c r="I9" s="47">
        <v>3.3598643769959602</v>
      </c>
      <c r="J9" s="47">
        <v>2.8504152202994</v>
      </c>
      <c r="K9" s="47">
        <v>3.08017053107507</v>
      </c>
      <c r="L9" s="64">
        <v>44.306160553742103</v>
      </c>
    </row>
    <row r="10" spans="1:100" x14ac:dyDescent="0.25">
      <c r="A10" s="5">
        <v>100</v>
      </c>
      <c r="B10" s="7">
        <f>K5</f>
        <v>3.0853673705161699</v>
      </c>
      <c r="D10" s="63"/>
      <c r="E10" s="47"/>
      <c r="F10" s="47"/>
      <c r="G10" s="47"/>
      <c r="H10" s="47"/>
      <c r="I10" s="47"/>
      <c r="J10" s="47"/>
      <c r="K10" s="47"/>
      <c r="L10" s="64"/>
    </row>
    <row r="11" spans="1:100" x14ac:dyDescent="0.25">
      <c r="A11" s="5">
        <v>125</v>
      </c>
      <c r="B11" s="7">
        <f>K7</f>
        <v>2.6935938832354398</v>
      </c>
      <c r="D11" s="63">
        <v>200</v>
      </c>
      <c r="E11" s="47">
        <v>2.8094746520279399</v>
      </c>
      <c r="F11" s="47">
        <v>2.57685797882601</v>
      </c>
      <c r="G11" s="47">
        <v>2.6990648580945198</v>
      </c>
      <c r="H11" s="47">
        <v>3.0000964581687399</v>
      </c>
      <c r="I11" s="47">
        <v>3.2694719892194399</v>
      </c>
      <c r="J11" s="47">
        <v>2.8495580234368099</v>
      </c>
      <c r="K11" s="47">
        <v>2.86742065996224</v>
      </c>
      <c r="L11" s="64">
        <v>47.593480680565698</v>
      </c>
    </row>
    <row r="12" spans="1:100" x14ac:dyDescent="0.25">
      <c r="A12" s="5">
        <v>160</v>
      </c>
      <c r="B12" s="7">
        <f>K9</f>
        <v>3.08017053107507</v>
      </c>
      <c r="D12" s="63"/>
      <c r="E12" s="47"/>
      <c r="F12" s="47"/>
      <c r="G12" s="47"/>
      <c r="H12" s="47"/>
      <c r="I12" s="47"/>
      <c r="J12" s="47"/>
      <c r="K12" s="47"/>
      <c r="L12" s="64"/>
    </row>
    <row r="13" spans="1:100" x14ac:dyDescent="0.25">
      <c r="A13" s="5">
        <v>200</v>
      </c>
      <c r="B13" s="7">
        <f>K11</f>
        <v>2.86742065996224</v>
      </c>
      <c r="D13" s="63">
        <v>250</v>
      </c>
      <c r="E13" s="47">
        <v>2.41119492845761</v>
      </c>
      <c r="F13" s="47">
        <v>2.4035948676841099</v>
      </c>
      <c r="G13" s="47">
        <v>2.3643819223967499</v>
      </c>
      <c r="H13" s="47">
        <v>2.46223596896214</v>
      </c>
      <c r="I13" s="47">
        <v>2.8523534307834599</v>
      </c>
      <c r="J13" s="47">
        <v>2.2986027901975099</v>
      </c>
      <c r="K13" s="47">
        <v>2.4653939847469299</v>
      </c>
      <c r="L13" s="64">
        <v>55.354450565667001</v>
      </c>
      <c r="M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  <c r="CV13" s="1"/>
    </row>
    <row r="14" spans="1:100" x14ac:dyDescent="0.25">
      <c r="A14" s="5">
        <v>250</v>
      </c>
      <c r="B14" s="7">
        <f>K13</f>
        <v>2.4653939847469299</v>
      </c>
      <c r="D14" s="63"/>
      <c r="E14" s="47"/>
      <c r="F14" s="47"/>
      <c r="G14" s="47"/>
      <c r="H14" s="47"/>
      <c r="I14" s="47"/>
      <c r="J14" s="47"/>
      <c r="K14" s="47"/>
      <c r="L14" s="64"/>
      <c r="M14" s="1"/>
      <c r="Y14" s="1"/>
      <c r="AB14" s="1"/>
      <c r="AE14" s="1"/>
      <c r="AH14" s="1"/>
      <c r="AK14" s="1"/>
      <c r="AN14" s="1"/>
      <c r="AQ14" s="1"/>
      <c r="AT14" s="1"/>
      <c r="AW14" s="1"/>
      <c r="AZ14" s="1"/>
      <c r="BC14" s="1"/>
      <c r="BF14" s="1"/>
      <c r="BI14" s="1"/>
      <c r="BL14" s="1"/>
      <c r="BO14" s="1"/>
      <c r="BR14" s="1"/>
      <c r="BU14" s="1"/>
      <c r="BX14" s="1"/>
      <c r="CA14" s="1"/>
      <c r="CD14" s="1"/>
      <c r="CG14" s="1"/>
      <c r="CJ14" s="1"/>
      <c r="CM14" s="1"/>
      <c r="CP14" s="1"/>
      <c r="CS14" s="1"/>
      <c r="CV14" s="1"/>
    </row>
    <row r="15" spans="1:100" x14ac:dyDescent="0.25">
      <c r="A15" s="5">
        <v>315</v>
      </c>
      <c r="B15" s="7">
        <f>K15</f>
        <v>2.51756531854413</v>
      </c>
      <c r="D15" s="63">
        <v>315</v>
      </c>
      <c r="E15" s="47">
        <v>2.6994460732245402</v>
      </c>
      <c r="F15" s="47">
        <v>2.6120129193333899</v>
      </c>
      <c r="G15" s="47">
        <v>2.60068812418967</v>
      </c>
      <c r="H15" s="47">
        <v>2.6671465095221798</v>
      </c>
      <c r="I15" s="47">
        <v>2.1999590141759802</v>
      </c>
      <c r="J15" s="47">
        <v>2.3261392708190201</v>
      </c>
      <c r="K15" s="47">
        <v>2.51756531854413</v>
      </c>
      <c r="L15" s="64">
        <v>54.207343757039901</v>
      </c>
    </row>
    <row r="16" spans="1:100" x14ac:dyDescent="0.25">
      <c r="A16" s="5">
        <v>400</v>
      </c>
      <c r="B16" s="7">
        <f>K17</f>
        <v>2.5739118470851001</v>
      </c>
      <c r="D16" s="63"/>
      <c r="E16" s="47"/>
      <c r="F16" s="47"/>
      <c r="G16" s="47"/>
      <c r="H16" s="47"/>
      <c r="I16" s="47"/>
      <c r="J16" s="47"/>
      <c r="K16" s="47"/>
      <c r="L16" s="64"/>
    </row>
    <row r="17" spans="1:100" x14ac:dyDescent="0.25">
      <c r="A17" s="5">
        <v>500</v>
      </c>
      <c r="B17" s="7">
        <f>K19</f>
        <v>2.43999449598294</v>
      </c>
      <c r="D17" s="63">
        <v>400</v>
      </c>
      <c r="E17" s="47">
        <v>2.6563376029968402</v>
      </c>
      <c r="F17" s="47">
        <v>2.6733591409106801</v>
      </c>
      <c r="G17" s="47">
        <v>2.4628960383928198</v>
      </c>
      <c r="H17" s="47">
        <v>2.5950996917396298</v>
      </c>
      <c r="I17" s="47">
        <v>2.45933580636654</v>
      </c>
      <c r="J17" s="47">
        <v>2.5964428021041299</v>
      </c>
      <c r="K17" s="47">
        <v>2.5739118470851001</v>
      </c>
      <c r="L17" s="64">
        <v>53.020668696473798</v>
      </c>
    </row>
    <row r="18" spans="1:100" x14ac:dyDescent="0.25">
      <c r="A18" s="5">
        <v>630</v>
      </c>
      <c r="B18" s="7">
        <f>K21</f>
        <v>2.3138618539096298</v>
      </c>
      <c r="D18" s="63"/>
      <c r="E18" s="47"/>
      <c r="F18" s="47"/>
      <c r="G18" s="47"/>
      <c r="H18" s="47"/>
      <c r="I18" s="47"/>
      <c r="J18" s="47"/>
      <c r="K18" s="47"/>
      <c r="L18" s="64"/>
    </row>
    <row r="19" spans="1:100" x14ac:dyDescent="0.25">
      <c r="A19" s="5">
        <v>800</v>
      </c>
      <c r="B19" s="7">
        <f>K23</f>
        <v>2.1123592288966901</v>
      </c>
      <c r="D19" s="63">
        <v>500</v>
      </c>
      <c r="E19" s="47">
        <v>2.47854250538147</v>
      </c>
      <c r="F19" s="47">
        <v>2.3471943199490499</v>
      </c>
      <c r="G19" s="47">
        <v>2.40804152384653</v>
      </c>
      <c r="H19" s="47">
        <v>2.3118916546157502</v>
      </c>
      <c r="I19" s="47">
        <v>2.6296174613359802</v>
      </c>
      <c r="J19" s="47">
        <v>2.4646795107688702</v>
      </c>
      <c r="K19" s="47">
        <v>2.43999449598294</v>
      </c>
      <c r="L19" s="64">
        <v>55.930669460806897</v>
      </c>
    </row>
    <row r="20" spans="1:100" x14ac:dyDescent="0.25">
      <c r="A20" s="5">
        <v>1000</v>
      </c>
      <c r="B20" s="7">
        <f>K25</f>
        <v>1.9865323522312699</v>
      </c>
      <c r="D20" s="63"/>
      <c r="E20" s="47"/>
      <c r="F20" s="47"/>
      <c r="G20" s="47"/>
      <c r="H20" s="47"/>
      <c r="I20" s="47"/>
      <c r="J20" s="47"/>
      <c r="K20" s="47"/>
      <c r="L20" s="64"/>
    </row>
    <row r="21" spans="1:100" x14ac:dyDescent="0.25">
      <c r="A21" s="5">
        <v>1250</v>
      </c>
      <c r="B21" s="7">
        <f>K27</f>
        <v>1.94548757954165</v>
      </c>
      <c r="D21" s="63">
        <v>630</v>
      </c>
      <c r="E21" s="47">
        <v>2.3261675560099699</v>
      </c>
      <c r="F21" s="47">
        <v>2.32610738151855</v>
      </c>
      <c r="G21" s="47">
        <v>2.4041346288186398</v>
      </c>
      <c r="H21" s="47">
        <v>2.0108175369861701</v>
      </c>
      <c r="I21" s="47">
        <v>2.41204115349572</v>
      </c>
      <c r="J21" s="47">
        <v>2.4039028666287501</v>
      </c>
      <c r="K21" s="47">
        <v>2.3138618539096298</v>
      </c>
      <c r="L21" s="64">
        <v>58.979546610206398</v>
      </c>
    </row>
    <row r="22" spans="1:100" x14ac:dyDescent="0.25">
      <c r="A22" s="5">
        <v>1600</v>
      </c>
      <c r="B22" s="7">
        <f>K29</f>
        <v>1.89120420399092</v>
      </c>
      <c r="D22" s="63"/>
      <c r="E22" s="47"/>
      <c r="F22" s="47"/>
      <c r="G22" s="47"/>
      <c r="H22" s="47"/>
      <c r="I22" s="47"/>
      <c r="J22" s="47"/>
      <c r="K22" s="47"/>
      <c r="L22" s="64"/>
    </row>
    <row r="23" spans="1:100" x14ac:dyDescent="0.25">
      <c r="A23" s="5">
        <v>2000</v>
      </c>
      <c r="B23" s="7">
        <f>K31</f>
        <v>1.78641959380725</v>
      </c>
      <c r="D23" s="63">
        <v>800</v>
      </c>
      <c r="E23" s="47">
        <v>2.05748051992457</v>
      </c>
      <c r="F23" s="47">
        <v>2.23002306573055</v>
      </c>
      <c r="G23" s="47">
        <v>2.0613416597799099</v>
      </c>
      <c r="H23" s="47">
        <v>2.0702834733150102</v>
      </c>
      <c r="I23" s="47">
        <v>2.0959280894965602</v>
      </c>
      <c r="J23" s="47">
        <v>2.1590985651335202</v>
      </c>
      <c r="K23" s="47">
        <v>2.1123592288966901</v>
      </c>
      <c r="L23" s="64">
        <v>64.605734464995606</v>
      </c>
    </row>
    <row r="24" spans="1:100" x14ac:dyDescent="0.25">
      <c r="A24" s="5">
        <v>2500</v>
      </c>
      <c r="B24" s="7">
        <f>K33</f>
        <v>1.7275117172524701</v>
      </c>
      <c r="D24" s="63"/>
      <c r="E24" s="47"/>
      <c r="F24" s="47"/>
      <c r="G24" s="47"/>
      <c r="H24" s="47"/>
      <c r="I24" s="47"/>
      <c r="J24" s="47"/>
      <c r="K24" s="47"/>
      <c r="L24" s="64"/>
    </row>
    <row r="25" spans="1:100" x14ac:dyDescent="0.25">
      <c r="A25" s="5">
        <v>3150</v>
      </c>
      <c r="B25" s="7">
        <f>K35</f>
        <v>1.62578605531623</v>
      </c>
      <c r="D25" s="63">
        <v>1000</v>
      </c>
      <c r="E25" s="47">
        <v>1.92457386344672</v>
      </c>
      <c r="F25" s="47">
        <v>1.9255498300838401</v>
      </c>
      <c r="G25" s="47">
        <v>1.98278084864392</v>
      </c>
      <c r="H25" s="47">
        <v>2.0705699843833698</v>
      </c>
      <c r="I25" s="47">
        <v>2.06896664289643</v>
      </c>
      <c r="J25" s="47">
        <v>1.94675294393336</v>
      </c>
      <c r="K25" s="47">
        <v>1.9865323522312699</v>
      </c>
      <c r="L25" s="64">
        <v>68.697856330641997</v>
      </c>
    </row>
    <row r="26" spans="1:100" x14ac:dyDescent="0.25">
      <c r="A26" s="5">
        <v>4000</v>
      </c>
      <c r="B26" s="7">
        <f>K37</f>
        <v>1.5169488289806801</v>
      </c>
      <c r="D26" s="63"/>
      <c r="E26" s="47"/>
      <c r="F26" s="47"/>
      <c r="G26" s="47"/>
      <c r="H26" s="47"/>
      <c r="I26" s="47"/>
      <c r="J26" s="47"/>
      <c r="K26" s="47"/>
      <c r="L26" s="64"/>
    </row>
    <row r="27" spans="1:100" ht="15" customHeight="1" thickBot="1" x14ac:dyDescent="0.3">
      <c r="A27" s="8">
        <v>5000</v>
      </c>
      <c r="B27" s="9">
        <f>K39</f>
        <v>1.42489001409366</v>
      </c>
      <c r="D27" s="63">
        <v>1250</v>
      </c>
      <c r="E27" s="47">
        <v>1.9476469766608</v>
      </c>
      <c r="F27" s="47">
        <v>1.95139388514129</v>
      </c>
      <c r="G27" s="47">
        <v>1.8871128045444401</v>
      </c>
      <c r="H27" s="47">
        <v>1.9778773463071899</v>
      </c>
      <c r="I27" s="47">
        <v>1.93807058008587</v>
      </c>
      <c r="J27" s="47">
        <v>1.9708238845103001</v>
      </c>
      <c r="K27" s="47">
        <v>1.94548757954165</v>
      </c>
      <c r="L27" s="64">
        <v>70.147199476730407</v>
      </c>
    </row>
    <row r="28" spans="1:100" x14ac:dyDescent="0.25">
      <c r="D28" s="63"/>
      <c r="E28" s="47"/>
      <c r="F28" s="47"/>
      <c r="G28" s="47"/>
      <c r="H28" s="47"/>
      <c r="I28" s="47"/>
      <c r="J28" s="47"/>
      <c r="K28" s="47"/>
      <c r="L28" s="64"/>
    </row>
    <row r="29" spans="1:100" x14ac:dyDescent="0.25">
      <c r="D29" s="63">
        <v>1600</v>
      </c>
      <c r="E29" s="47">
        <v>1.8713462883927099</v>
      </c>
      <c r="F29" s="47">
        <v>1.9518835907326</v>
      </c>
      <c r="G29" s="47">
        <v>1.8509957689129499</v>
      </c>
      <c r="H29" s="47">
        <v>1.8698129470346401</v>
      </c>
      <c r="I29" s="47">
        <v>1.9176264932906899</v>
      </c>
      <c r="J29" s="47">
        <v>1.8855601355819001</v>
      </c>
      <c r="K29" s="47">
        <v>1.89120420399092</v>
      </c>
      <c r="L29" s="64">
        <v>72.160631817159896</v>
      </c>
    </row>
    <row r="30" spans="1:100" x14ac:dyDescent="0.25">
      <c r="D30" s="63"/>
      <c r="E30" s="47"/>
      <c r="F30" s="47"/>
      <c r="G30" s="47"/>
      <c r="H30" s="47"/>
      <c r="I30" s="47"/>
      <c r="J30" s="47"/>
      <c r="K30" s="47"/>
      <c r="L30" s="64"/>
    </row>
    <row r="31" spans="1:100" x14ac:dyDescent="0.25">
      <c r="D31" s="63">
        <v>2000</v>
      </c>
      <c r="E31" s="47">
        <v>1.7616879436944</v>
      </c>
      <c r="F31" s="47">
        <v>1.81478985788381</v>
      </c>
      <c r="G31" s="47">
        <v>1.6807299337530499</v>
      </c>
      <c r="H31" s="47">
        <v>1.85393275385152</v>
      </c>
      <c r="I31" s="47">
        <v>1.7604617048562099</v>
      </c>
      <c r="J31" s="47">
        <v>1.8469153688044799</v>
      </c>
      <c r="K31" s="47">
        <v>1.78641959380725</v>
      </c>
      <c r="L31" s="64">
        <v>76.393290501021497</v>
      </c>
    </row>
    <row r="32" spans="1:100" x14ac:dyDescent="0.25">
      <c r="B32" s="1"/>
      <c r="D32" s="63"/>
      <c r="E32" s="47"/>
      <c r="F32" s="47"/>
      <c r="G32" s="47"/>
      <c r="H32" s="47"/>
      <c r="I32" s="47"/>
      <c r="J32" s="47"/>
      <c r="K32" s="47"/>
      <c r="L32" s="64"/>
      <c r="M32" s="1"/>
      <c r="P32" s="1"/>
      <c r="S32" s="1"/>
      <c r="V32" s="1"/>
      <c r="Y32" s="1"/>
      <c r="AB32" s="1"/>
      <c r="AE32" s="1"/>
      <c r="AH32" s="1"/>
      <c r="AK32" s="1"/>
      <c r="AN32" s="1"/>
      <c r="AQ32" s="1"/>
      <c r="AT32" s="1"/>
      <c r="AW32" s="1"/>
      <c r="AZ32" s="1"/>
      <c r="BC32" s="1"/>
      <c r="BF32" s="1"/>
      <c r="BI32" s="1"/>
      <c r="BL32" s="1"/>
      <c r="BO32" s="1"/>
      <c r="BR32" s="1"/>
      <c r="BU32" s="1"/>
      <c r="BX32" s="1"/>
      <c r="CA32" s="1"/>
      <c r="CD32" s="1"/>
      <c r="CG32" s="1"/>
      <c r="CJ32" s="1"/>
      <c r="CM32" s="1"/>
      <c r="CP32" s="1"/>
      <c r="CS32" s="1"/>
      <c r="CV32" s="1"/>
    </row>
    <row r="33" spans="2:100" x14ac:dyDescent="0.25">
      <c r="D33" s="63">
        <v>2500</v>
      </c>
      <c r="E33" s="47">
        <v>1.78047946520501</v>
      </c>
      <c r="F33" s="47">
        <v>1.7895443168704801</v>
      </c>
      <c r="G33" s="47">
        <v>1.6012958733045599</v>
      </c>
      <c r="H33" s="47">
        <v>1.7856080906343299</v>
      </c>
      <c r="I33" s="47">
        <v>1.67506177747896</v>
      </c>
      <c r="J33" s="47">
        <v>1.73308078002151</v>
      </c>
      <c r="K33" s="47">
        <v>1.7275117172524701</v>
      </c>
      <c r="L33" s="64">
        <v>78.998271959489202</v>
      </c>
    </row>
    <row r="34" spans="2:100" x14ac:dyDescent="0.25">
      <c r="D34" s="63"/>
      <c r="E34" s="47"/>
      <c r="F34" s="47"/>
      <c r="G34" s="47"/>
      <c r="H34" s="47"/>
      <c r="I34" s="47"/>
      <c r="J34" s="47"/>
      <c r="K34" s="47"/>
      <c r="L34" s="64"/>
    </row>
    <row r="35" spans="2:100" x14ac:dyDescent="0.25">
      <c r="D35" s="63">
        <v>3150</v>
      </c>
      <c r="E35" s="47">
        <v>1.6634014617931601</v>
      </c>
      <c r="F35" s="47">
        <v>1.62026086118118</v>
      </c>
      <c r="G35" s="47">
        <v>1.6313968582974401</v>
      </c>
      <c r="H35" s="47">
        <v>1.598400118849</v>
      </c>
      <c r="I35" s="47">
        <v>1.6135436697600301</v>
      </c>
      <c r="J35" s="47">
        <v>1.62771336201656</v>
      </c>
      <c r="K35" s="47">
        <v>1.62578605531623</v>
      </c>
      <c r="L35" s="64">
        <v>83.941177495823794</v>
      </c>
    </row>
    <row r="36" spans="2:100" x14ac:dyDescent="0.25">
      <c r="D36" s="63"/>
      <c r="E36" s="47"/>
      <c r="F36" s="47"/>
      <c r="G36" s="47"/>
      <c r="H36" s="47"/>
      <c r="I36" s="47"/>
      <c r="J36" s="47"/>
      <c r="K36" s="47"/>
      <c r="L36" s="64"/>
    </row>
    <row r="37" spans="2:100" x14ac:dyDescent="0.25">
      <c r="D37" s="63">
        <v>4000</v>
      </c>
      <c r="E37" s="47">
        <v>1.52394591643691</v>
      </c>
      <c r="F37" s="47">
        <v>1.5569956950138899</v>
      </c>
      <c r="G37" s="47">
        <v>1.4793686772814501</v>
      </c>
      <c r="H37" s="47">
        <v>1.4924518365675199</v>
      </c>
      <c r="I37" s="47">
        <v>1.53979357628628</v>
      </c>
      <c r="J37" s="47">
        <v>1.5091372722980501</v>
      </c>
      <c r="K37" s="47">
        <v>1.5169488289806801</v>
      </c>
      <c r="L37" s="64">
        <v>89.963698951029798</v>
      </c>
    </row>
    <row r="38" spans="2:100" x14ac:dyDescent="0.25">
      <c r="D38" s="63"/>
      <c r="E38" s="47"/>
      <c r="F38" s="47"/>
      <c r="G38" s="47"/>
      <c r="H38" s="47"/>
      <c r="I38" s="47"/>
      <c r="J38" s="47"/>
      <c r="K38" s="47"/>
      <c r="L38" s="64"/>
    </row>
    <row r="39" spans="2:100" ht="15" customHeight="1" thickBot="1" x14ac:dyDescent="0.3">
      <c r="B39" s="1"/>
      <c r="D39" s="65">
        <v>5000</v>
      </c>
      <c r="E39" s="66">
        <v>1.42339347462512</v>
      </c>
      <c r="F39" s="66">
        <v>1.40143842197284</v>
      </c>
      <c r="G39" s="66">
        <v>1.4282120578972299</v>
      </c>
      <c r="H39" s="66">
        <v>1.44965434089581</v>
      </c>
      <c r="I39" s="66">
        <v>1.4200409521489199</v>
      </c>
      <c r="J39" s="66">
        <v>1.42660083702202</v>
      </c>
      <c r="K39" s="66">
        <v>1.42489001409366</v>
      </c>
      <c r="L39" s="67">
        <v>95.775976743093096</v>
      </c>
      <c r="M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  <c r="CV39" s="1"/>
    </row>
    <row r="40" spans="2:100" x14ac:dyDescent="0.25">
      <c r="B40" s="1"/>
      <c r="M40" s="1"/>
      <c r="P40" s="1"/>
      <c r="S40" s="1"/>
      <c r="V40" s="1"/>
      <c r="Y40" s="1"/>
      <c r="AB40" s="1"/>
      <c r="AE40" s="1"/>
      <c r="AH40" s="1"/>
      <c r="AK40" s="1"/>
      <c r="AN40" s="1"/>
      <c r="AQ40" s="1"/>
      <c r="AT40" s="1"/>
      <c r="AW40" s="1"/>
      <c r="AZ40" s="1"/>
      <c r="BC40" s="1"/>
      <c r="BF40" s="1"/>
      <c r="BI40" s="1"/>
      <c r="BL40" s="1"/>
      <c r="BO40" s="1"/>
      <c r="BR40" s="1"/>
      <c r="BU40" s="1"/>
      <c r="BX40" s="1"/>
      <c r="CA40" s="1"/>
      <c r="CD40" s="1"/>
      <c r="CG40" s="1"/>
      <c r="CJ40" s="1"/>
      <c r="CM40" s="1"/>
      <c r="CP40" s="1"/>
      <c r="CS40" s="1"/>
      <c r="CV40" s="1"/>
    </row>
    <row r="41" spans="2:100" ht="27.6" customHeight="1" x14ac:dyDescent="0.25">
      <c r="D41" s="71"/>
      <c r="E41" s="68" t="s">
        <v>20</v>
      </c>
      <c r="F41" s="68" t="s">
        <v>21</v>
      </c>
      <c r="G41" s="73" t="s">
        <v>22</v>
      </c>
    </row>
    <row r="42" spans="2:100" x14ac:dyDescent="0.25">
      <c r="D42" s="71"/>
      <c r="E42" s="69"/>
      <c r="F42" s="69"/>
      <c r="G42" s="69"/>
    </row>
    <row r="43" spans="2:100" x14ac:dyDescent="0.25">
      <c r="D43" s="71" t="s">
        <v>23</v>
      </c>
      <c r="E43" s="70">
        <v>63</v>
      </c>
      <c r="F43" s="70">
        <v>19.600000000000001</v>
      </c>
      <c r="G43" s="70">
        <v>101</v>
      </c>
    </row>
    <row r="44" spans="2:100" x14ac:dyDescent="0.25">
      <c r="D44" s="71"/>
      <c r="E44" s="71"/>
      <c r="F44" s="72"/>
      <c r="G44" s="72"/>
      <c r="H44" s="105"/>
    </row>
    <row r="45" spans="2:100" x14ac:dyDescent="0.25">
      <c r="F45" s="10"/>
      <c r="G45" s="10"/>
      <c r="H45" s="105"/>
    </row>
    <row r="46" spans="2:100" x14ac:dyDescent="0.25">
      <c r="F46" s="10"/>
      <c r="G46" s="10"/>
      <c r="H46" s="105"/>
    </row>
    <row r="47" spans="2:100" x14ac:dyDescent="0.25">
      <c r="F47" s="10"/>
      <c r="G47" s="10"/>
      <c r="H47" s="105"/>
    </row>
    <row r="48" spans="2:100" x14ac:dyDescent="0.25">
      <c r="F48" s="10"/>
      <c r="G48" s="10"/>
      <c r="H48" s="105"/>
    </row>
    <row r="49" spans="2:100" x14ac:dyDescent="0.25">
      <c r="F49" s="10"/>
      <c r="G49" s="10"/>
      <c r="H49" s="105"/>
    </row>
    <row r="50" spans="2:100" x14ac:dyDescent="0.25">
      <c r="B50" s="1"/>
      <c r="D50" s="1"/>
      <c r="F50" s="10"/>
      <c r="G50" s="3"/>
      <c r="H50" s="105"/>
      <c r="J50" s="1"/>
      <c r="M50" s="1"/>
      <c r="P50" s="1"/>
      <c r="S50" s="1"/>
      <c r="V50" s="1"/>
      <c r="Y50" s="1"/>
      <c r="AB50" s="1"/>
      <c r="AE50" s="1"/>
      <c r="AH50" s="1"/>
      <c r="AK50" s="1"/>
      <c r="AN50" s="1"/>
      <c r="AQ50" s="1"/>
      <c r="AT50" s="1"/>
      <c r="AW50" s="1"/>
      <c r="AZ50" s="1"/>
      <c r="BC50" s="1"/>
      <c r="BF50" s="1"/>
      <c r="BI50" s="1"/>
      <c r="BL50" s="1"/>
      <c r="BO50" s="1"/>
      <c r="BR50" s="1"/>
      <c r="BU50" s="1"/>
      <c r="BX50" s="1"/>
      <c r="CA50" s="1"/>
      <c r="CD50" s="1"/>
      <c r="CG50" s="1"/>
      <c r="CJ50" s="1"/>
      <c r="CM50" s="1"/>
      <c r="CP50" s="1"/>
      <c r="CS50" s="1"/>
      <c r="CV50" s="1"/>
    </row>
    <row r="51" spans="2:100" x14ac:dyDescent="0.25">
      <c r="F51" s="10"/>
      <c r="G51" s="10"/>
      <c r="H51" s="105"/>
    </row>
    <row r="52" spans="2:100" x14ac:dyDescent="0.25">
      <c r="F52" s="10"/>
      <c r="G52" s="10"/>
      <c r="H52" s="105"/>
    </row>
    <row r="53" spans="2:100" x14ac:dyDescent="0.25">
      <c r="F53" s="10"/>
      <c r="G53" s="10"/>
      <c r="H53" s="105"/>
    </row>
    <row r="54" spans="2:100" x14ac:dyDescent="0.25">
      <c r="F54" s="10"/>
      <c r="G54" s="10"/>
      <c r="H54" s="105"/>
    </row>
    <row r="55" spans="2:100" x14ac:dyDescent="0.25">
      <c r="F55" s="10"/>
      <c r="G55" s="10"/>
      <c r="H55" s="105"/>
    </row>
    <row r="56" spans="2:100" x14ac:dyDescent="0.25">
      <c r="F56" s="10"/>
      <c r="G56" s="10"/>
      <c r="H56" s="105"/>
    </row>
    <row r="57" spans="2:100" x14ac:dyDescent="0.25">
      <c r="F57" s="10"/>
      <c r="G57" s="10"/>
      <c r="H57" s="105"/>
    </row>
    <row r="58" spans="2:100" x14ac:dyDescent="0.25">
      <c r="F58" s="10"/>
      <c r="G58" s="10"/>
      <c r="H58" s="105"/>
    </row>
    <row r="59" spans="2:100" x14ac:dyDescent="0.25">
      <c r="F59" s="10"/>
      <c r="G59" s="10"/>
      <c r="H59" s="105"/>
    </row>
    <row r="60" spans="2:100" x14ac:dyDescent="0.25">
      <c r="F60" s="10"/>
      <c r="G60" s="10"/>
      <c r="H60" s="105"/>
    </row>
    <row r="61" spans="2:100" x14ac:dyDescent="0.25">
      <c r="F61" s="10"/>
      <c r="G61" s="10"/>
      <c r="H61" s="105"/>
    </row>
    <row r="62" spans="2:100" x14ac:dyDescent="0.25">
      <c r="F62" s="10"/>
      <c r="G62" s="10"/>
      <c r="H62" s="105"/>
    </row>
    <row r="63" spans="2:100" x14ac:dyDescent="0.25">
      <c r="F63" s="10"/>
      <c r="G63" s="10"/>
      <c r="H63" s="105"/>
    </row>
    <row r="64" spans="2:100" x14ac:dyDescent="0.25">
      <c r="F64" s="10"/>
      <c r="G64" s="10"/>
      <c r="H64" s="105"/>
    </row>
    <row r="65" spans="6:8" x14ac:dyDescent="0.25">
      <c r="F65" s="10"/>
      <c r="G65" s="10"/>
      <c r="H65" s="105"/>
    </row>
    <row r="66" spans="6:8" x14ac:dyDescent="0.25">
      <c r="F66" s="10"/>
      <c r="G66" s="10"/>
      <c r="H66" s="105"/>
    </row>
    <row r="67" spans="6:8" x14ac:dyDescent="0.25">
      <c r="F67" s="10"/>
      <c r="G67" s="10"/>
      <c r="H67" s="105"/>
    </row>
    <row r="68" spans="6:8" x14ac:dyDescent="0.25">
      <c r="F68" s="10"/>
      <c r="G68" s="10"/>
      <c r="H68" s="105"/>
    </row>
    <row r="69" spans="6:8" x14ac:dyDescent="0.25">
      <c r="F69" s="10"/>
      <c r="G69" s="10"/>
      <c r="H69" s="105"/>
    </row>
    <row r="70" spans="6:8" x14ac:dyDescent="0.25">
      <c r="F70" s="10"/>
      <c r="G70" s="10"/>
      <c r="H70" s="105"/>
    </row>
    <row r="71" spans="6:8" x14ac:dyDescent="0.25">
      <c r="F71" s="10"/>
      <c r="G71" s="10"/>
      <c r="H71" s="105"/>
    </row>
    <row r="72" spans="6:8" x14ac:dyDescent="0.25">
      <c r="F72" s="10"/>
      <c r="G72" s="10"/>
      <c r="H72" s="105"/>
    </row>
    <row r="73" spans="6:8" x14ac:dyDescent="0.25">
      <c r="F73" s="10"/>
      <c r="G73" s="10"/>
      <c r="H73" s="105"/>
    </row>
    <row r="74" spans="6:8" x14ac:dyDescent="0.25">
      <c r="F74" s="10"/>
      <c r="G74" s="10"/>
      <c r="H74" s="105"/>
    </row>
    <row r="75" spans="6:8" x14ac:dyDescent="0.25">
      <c r="F75" s="10"/>
      <c r="G75" s="10"/>
      <c r="H75" s="105"/>
    </row>
    <row r="76" spans="6:8" x14ac:dyDescent="0.25">
      <c r="F76" s="10"/>
      <c r="G76" s="10"/>
      <c r="H76" s="105"/>
    </row>
    <row r="77" spans="6:8" x14ac:dyDescent="0.25">
      <c r="F77" s="10"/>
      <c r="G77" s="10"/>
      <c r="H77" s="105"/>
    </row>
    <row r="78" spans="6:8" x14ac:dyDescent="0.25">
      <c r="F78" s="10"/>
      <c r="G78" s="10"/>
      <c r="H78" s="105"/>
    </row>
    <row r="79" spans="6:8" x14ac:dyDescent="0.25">
      <c r="F79" s="10"/>
      <c r="G79" s="10"/>
      <c r="H79" s="105"/>
    </row>
    <row r="80" spans="6:8" x14ac:dyDescent="0.25">
      <c r="F80" s="10"/>
      <c r="G80" s="10"/>
      <c r="H80" s="105"/>
    </row>
    <row r="81" spans="2:101" x14ac:dyDescent="0.25">
      <c r="F81" s="10"/>
      <c r="G81" s="10"/>
      <c r="H81" s="105"/>
    </row>
    <row r="82" spans="2:101" x14ac:dyDescent="0.25">
      <c r="F82" s="10"/>
      <c r="G82" s="10"/>
      <c r="H82" s="105"/>
    </row>
    <row r="83" spans="2:101" x14ac:dyDescent="0.25">
      <c r="F83" s="10"/>
      <c r="G83" s="10"/>
      <c r="H83" s="105"/>
    </row>
    <row r="84" spans="2:101" x14ac:dyDescent="0.25">
      <c r="F84" s="10"/>
      <c r="G84" s="10"/>
      <c r="H84" s="105"/>
    </row>
    <row r="85" spans="2:101" x14ac:dyDescent="0.25">
      <c r="C85" s="1"/>
      <c r="E85" s="1"/>
      <c r="F85" s="3"/>
      <c r="G85" s="10"/>
      <c r="H85" s="105"/>
      <c r="K85" s="1"/>
      <c r="N85" s="1"/>
      <c r="Q85" s="1"/>
      <c r="T85" s="1"/>
      <c r="W85" s="1"/>
      <c r="Z85" s="1"/>
      <c r="AC85" s="1"/>
      <c r="AF85" s="1"/>
      <c r="AI85" s="1"/>
      <c r="AL85" s="1"/>
      <c r="AO85" s="1"/>
      <c r="AR85" s="1"/>
      <c r="AU85" s="1"/>
      <c r="AX85" s="1"/>
      <c r="BA85" s="1"/>
      <c r="BD85" s="1"/>
      <c r="BG85" s="1"/>
      <c r="BJ85" s="1"/>
      <c r="BM85" s="1"/>
      <c r="BP85" s="1"/>
      <c r="BS85" s="1"/>
      <c r="BV85" s="1"/>
      <c r="BY85" s="1"/>
      <c r="CB85" s="1"/>
      <c r="CE85" s="1"/>
      <c r="CH85" s="1"/>
      <c r="CK85" s="1"/>
      <c r="CN85" s="1"/>
      <c r="CQ85" s="1"/>
      <c r="CT85" s="1"/>
      <c r="CW85" s="1"/>
    </row>
    <row r="86" spans="2:101" x14ac:dyDescent="0.25">
      <c r="B86" s="1"/>
      <c r="C86" s="1"/>
      <c r="D86" s="1"/>
      <c r="E86" s="1"/>
      <c r="F86" s="3"/>
      <c r="G86" s="3"/>
      <c r="H86" s="105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  <c r="CV86" s="1"/>
      <c r="CW86" s="1"/>
    </row>
    <row r="87" spans="2:101" x14ac:dyDescent="0.25">
      <c r="B87" s="1"/>
      <c r="C87" s="1"/>
      <c r="D87" s="1"/>
      <c r="E87" s="1"/>
      <c r="F87" s="3"/>
      <c r="G87" s="3"/>
      <c r="H87" s="105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  <c r="CV87" s="1"/>
      <c r="CW87" s="1"/>
    </row>
    <row r="88" spans="2:101" x14ac:dyDescent="0.25">
      <c r="B88" s="1"/>
      <c r="C88" s="1"/>
      <c r="D88" s="1"/>
      <c r="E88" s="1"/>
      <c r="F88" s="3"/>
      <c r="G88" s="3"/>
      <c r="H88" s="105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  <c r="CV88" s="1"/>
      <c r="CW88" s="1"/>
    </row>
    <row r="89" spans="2:101" x14ac:dyDescent="0.25">
      <c r="B89" s="1"/>
      <c r="C89" s="1"/>
      <c r="D89" s="1"/>
      <c r="E89" s="1"/>
      <c r="F89" s="3"/>
      <c r="G89" s="3"/>
      <c r="H89" s="105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  <c r="CV89" s="1"/>
      <c r="CW89" s="1"/>
    </row>
    <row r="90" spans="2:101" x14ac:dyDescent="0.25">
      <c r="B90" s="1"/>
      <c r="C90" s="1"/>
      <c r="D90" s="1"/>
      <c r="E90" s="1"/>
      <c r="F90" s="3"/>
      <c r="G90" s="3"/>
      <c r="H90" s="105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  <c r="CV90" s="1"/>
      <c r="CW90" s="1"/>
    </row>
    <row r="91" spans="2:101" x14ac:dyDescent="0.25">
      <c r="B91" s="1"/>
      <c r="C91" s="1"/>
      <c r="D91" s="1"/>
      <c r="E91" s="1"/>
      <c r="F91" s="3"/>
      <c r="G91" s="3"/>
      <c r="H91" s="105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  <c r="CV91" s="1"/>
      <c r="CW91" s="1"/>
    </row>
    <row r="92" spans="2:101" x14ac:dyDescent="0.25">
      <c r="B92" s="1"/>
      <c r="C92" s="1"/>
      <c r="D92" s="1"/>
      <c r="E92" s="1"/>
      <c r="F92" s="3"/>
      <c r="G92" s="3"/>
      <c r="H92" s="105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  <c r="CV92" s="1"/>
      <c r="CW92" s="1"/>
    </row>
    <row r="93" spans="2:101" x14ac:dyDescent="0.25">
      <c r="B93" s="1"/>
      <c r="C93" s="1"/>
      <c r="D93" s="1"/>
      <c r="E93" s="1"/>
      <c r="F93" s="3"/>
      <c r="G93" s="3"/>
      <c r="H93" s="105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  <c r="CV93" s="1"/>
      <c r="CW93" s="1"/>
    </row>
    <row r="94" spans="2:101" x14ac:dyDescent="0.25">
      <c r="B94" s="1"/>
      <c r="C94" s="1"/>
      <c r="D94" s="1"/>
      <c r="E94" s="1"/>
      <c r="F94" s="3"/>
      <c r="G94" s="3"/>
      <c r="H94" s="105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  <c r="CV94" s="1"/>
      <c r="CW94" s="1"/>
    </row>
    <row r="95" spans="2:101" x14ac:dyDescent="0.25">
      <c r="B95" s="1"/>
      <c r="C95" s="1"/>
      <c r="D95" s="1"/>
      <c r="E95" s="1"/>
      <c r="F95" s="3"/>
      <c r="G95" s="3"/>
      <c r="H95" s="105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  <c r="CV95" s="1"/>
      <c r="CW95" s="1"/>
    </row>
    <row r="96" spans="2:101" x14ac:dyDescent="0.25">
      <c r="B96" s="1"/>
      <c r="C96" s="1"/>
      <c r="D96" s="1"/>
      <c r="E96" s="1"/>
      <c r="F96" s="3"/>
      <c r="G96" s="3"/>
      <c r="H96" s="105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  <c r="CV96" s="1"/>
      <c r="CW96" s="1"/>
    </row>
    <row r="97" spans="2:101" x14ac:dyDescent="0.25">
      <c r="B97" s="1"/>
      <c r="C97" s="1"/>
      <c r="D97" s="1"/>
      <c r="E97" s="1"/>
      <c r="F97" s="3"/>
      <c r="G97" s="3"/>
      <c r="H97" s="105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  <c r="CV97" s="1"/>
      <c r="CW97" s="1"/>
    </row>
    <row r="98" spans="2:101" x14ac:dyDescent="0.25">
      <c r="B98" s="1"/>
      <c r="C98" s="1"/>
      <c r="D98" s="1"/>
      <c r="E98" s="1"/>
      <c r="F98" s="3"/>
      <c r="G98" s="3"/>
      <c r="H98" s="105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  <c r="CV98" s="1"/>
      <c r="CW98" s="1"/>
    </row>
    <row r="99" spans="2:101" x14ac:dyDescent="0.25">
      <c r="B99" s="1"/>
      <c r="C99" s="1"/>
      <c r="D99" s="1"/>
      <c r="E99" s="1"/>
      <c r="F99" s="3"/>
      <c r="G99" s="3"/>
      <c r="H99" s="105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  <c r="CV99" s="1"/>
      <c r="CW99" s="1"/>
    </row>
    <row r="100" spans="2:101" x14ac:dyDescent="0.25">
      <c r="B100" s="1"/>
      <c r="C100" s="1"/>
      <c r="D100" s="1"/>
      <c r="E100" s="1"/>
      <c r="F100" s="3"/>
      <c r="G100" s="3"/>
      <c r="H100" s="105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  <c r="CV100" s="1"/>
      <c r="CW100" s="1"/>
    </row>
    <row r="101" spans="2:101" x14ac:dyDescent="0.25">
      <c r="B101" s="1"/>
      <c r="C101" s="1"/>
      <c r="D101" s="1"/>
      <c r="E101" s="1"/>
      <c r="F101" s="3"/>
      <c r="G101" s="3"/>
      <c r="H101" s="105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  <c r="CV101" s="1"/>
      <c r="CW101" s="1"/>
    </row>
    <row r="102" spans="2:101" x14ac:dyDescent="0.25">
      <c r="B102" s="1"/>
      <c r="C102" s="1"/>
      <c r="D102" s="1"/>
      <c r="E102" s="1"/>
      <c r="F102" s="3"/>
      <c r="G102" s="3"/>
      <c r="H102" s="105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  <c r="CV102" s="1"/>
      <c r="CW102" s="1"/>
    </row>
    <row r="103" spans="2:101" x14ac:dyDescent="0.25">
      <c r="B103" s="1"/>
      <c r="C103" s="1"/>
      <c r="D103" s="1"/>
      <c r="E103" s="1"/>
      <c r="F103" s="3"/>
      <c r="G103" s="3"/>
      <c r="H103" s="105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  <c r="CV103" s="1"/>
      <c r="CW103" s="1"/>
    </row>
    <row r="104" spans="2:101" x14ac:dyDescent="0.25">
      <c r="B104" s="1"/>
      <c r="C104" s="1"/>
      <c r="D104" s="1"/>
      <c r="E104" s="1"/>
      <c r="F104" s="3"/>
      <c r="G104" s="3"/>
      <c r="H104" s="105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  <c r="CV104" s="1"/>
      <c r="CW104" s="1"/>
    </row>
    <row r="105" spans="2:101" x14ac:dyDescent="0.25">
      <c r="B105" s="1"/>
      <c r="C105" s="1"/>
      <c r="D105" s="1"/>
      <c r="E105" s="1"/>
      <c r="F105" s="3"/>
      <c r="G105" s="3"/>
      <c r="H105" s="105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  <c r="CV105" s="1"/>
      <c r="CW105" s="1"/>
    </row>
    <row r="106" spans="2:101" x14ac:dyDescent="0.25">
      <c r="B106" s="1"/>
      <c r="C106" s="1"/>
      <c r="D106" s="1"/>
      <c r="E106" s="1"/>
      <c r="F106" s="3"/>
      <c r="G106" s="3"/>
      <c r="H106" s="105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  <c r="CV106" s="1"/>
      <c r="CW106" s="1"/>
    </row>
    <row r="107" spans="2:101" x14ac:dyDescent="0.25">
      <c r="B107" s="1"/>
      <c r="C107" s="1"/>
      <c r="D107" s="1"/>
      <c r="E107" s="1"/>
      <c r="F107" s="3"/>
      <c r="G107" s="3"/>
      <c r="H107" s="105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  <c r="CV107" s="1"/>
      <c r="CW107" s="1"/>
    </row>
    <row r="108" spans="2:101" x14ac:dyDescent="0.25">
      <c r="B108" s="1"/>
      <c r="C108" s="1"/>
      <c r="D108" s="1"/>
      <c r="E108" s="1"/>
      <c r="F108" s="3"/>
      <c r="G108" s="3"/>
      <c r="H108" s="105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  <c r="CV108" s="1"/>
      <c r="CW108" s="1"/>
    </row>
    <row r="109" spans="2:101" x14ac:dyDescent="0.25">
      <c r="B109" s="1"/>
      <c r="C109" s="1"/>
      <c r="D109" s="1"/>
      <c r="E109" s="1"/>
      <c r="F109" s="3"/>
      <c r="G109" s="3"/>
      <c r="H109" s="105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  <c r="CV109" s="1"/>
      <c r="CW109" s="1"/>
    </row>
    <row r="110" spans="2:101" x14ac:dyDescent="0.25">
      <c r="B110" s="1"/>
      <c r="C110" s="1"/>
      <c r="D110" s="1"/>
      <c r="E110" s="1"/>
      <c r="F110" s="10"/>
      <c r="G110" s="10"/>
      <c r="H110" s="105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  <c r="CV110" s="1"/>
      <c r="CW110" s="1"/>
    </row>
    <row r="111" spans="2:101" x14ac:dyDescent="0.25">
      <c r="B111" s="1"/>
      <c r="C111" s="1"/>
      <c r="D111" s="1"/>
      <c r="E111" s="1"/>
      <c r="F111" s="10"/>
      <c r="G111" s="10"/>
      <c r="H111" s="105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  <c r="CV111" s="1"/>
      <c r="CW111" s="1"/>
    </row>
    <row r="112" spans="2:101" x14ac:dyDescent="0.25">
      <c r="B112" s="1"/>
      <c r="C112" s="1"/>
      <c r="D112" s="1"/>
      <c r="E112" s="1"/>
      <c r="F112" s="10"/>
      <c r="G112" s="10"/>
      <c r="H112" s="105"/>
      <c r="J112" s="1"/>
      <c r="K112" s="1"/>
      <c r="M112" s="1"/>
      <c r="N112" s="1"/>
      <c r="P112" s="1"/>
      <c r="Q112" s="1"/>
      <c r="S112" s="1"/>
      <c r="T112" s="1"/>
      <c r="V112" s="1"/>
      <c r="W112" s="1"/>
      <c r="Y112" s="1"/>
      <c r="Z112" s="1"/>
      <c r="AB112" s="1"/>
      <c r="AC112" s="1"/>
      <c r="AE112" s="1"/>
      <c r="AF112" s="1"/>
      <c r="AH112" s="1"/>
      <c r="AI112" s="1"/>
      <c r="AK112" s="1"/>
      <c r="AL112" s="1"/>
      <c r="AN112" s="1"/>
      <c r="AO112" s="1"/>
      <c r="AQ112" s="1"/>
      <c r="AR112" s="1"/>
      <c r="AT112" s="1"/>
      <c r="AU112" s="1"/>
      <c r="AW112" s="1"/>
      <c r="AX112" s="1"/>
      <c r="AZ112" s="1"/>
      <c r="BA112" s="1"/>
      <c r="BC112" s="1"/>
      <c r="BD112" s="1"/>
      <c r="BF112" s="1"/>
      <c r="BG112" s="1"/>
      <c r="BI112" s="1"/>
      <c r="BJ112" s="1"/>
      <c r="BL112" s="1"/>
      <c r="BM112" s="1"/>
      <c r="BO112" s="1"/>
      <c r="BP112" s="1"/>
      <c r="BR112" s="1"/>
      <c r="BS112" s="1"/>
      <c r="BU112" s="1"/>
      <c r="BV112" s="1"/>
      <c r="BX112" s="1"/>
      <c r="BY112" s="1"/>
      <c r="CA112" s="1"/>
      <c r="CB112" s="1"/>
      <c r="CD112" s="1"/>
      <c r="CE112" s="1"/>
      <c r="CG112" s="1"/>
      <c r="CH112" s="1"/>
      <c r="CJ112" s="1"/>
      <c r="CK112" s="1"/>
      <c r="CM112" s="1"/>
      <c r="CN112" s="1"/>
      <c r="CP112" s="1"/>
      <c r="CQ112" s="1"/>
      <c r="CS112" s="1"/>
      <c r="CT112" s="1"/>
      <c r="CV112" s="1"/>
      <c r="CW112" s="1"/>
    </row>
    <row r="113" spans="6:8" x14ac:dyDescent="0.25">
      <c r="F113" s="10"/>
      <c r="G113" s="10"/>
      <c r="H113" s="105"/>
    </row>
    <row r="114" spans="6:8" x14ac:dyDescent="0.25">
      <c r="F114" s="10"/>
      <c r="G114" s="10"/>
      <c r="H114" s="105"/>
    </row>
    <row r="115" spans="6:8" x14ac:dyDescent="0.25">
      <c r="F115" s="10"/>
      <c r="G115" s="10"/>
      <c r="H115" s="105"/>
    </row>
    <row r="116" spans="6:8" x14ac:dyDescent="0.25">
      <c r="F116" s="10"/>
      <c r="G116" s="10"/>
      <c r="H116" s="105"/>
    </row>
    <row r="117" spans="6:8" x14ac:dyDescent="0.25">
      <c r="F117" s="10"/>
      <c r="G117" s="10"/>
      <c r="H117" s="105"/>
    </row>
    <row r="118" spans="6:8" x14ac:dyDescent="0.25">
      <c r="F118" s="10"/>
      <c r="G118" s="10"/>
      <c r="H118" s="105"/>
    </row>
    <row r="119" spans="6:8" x14ac:dyDescent="0.25">
      <c r="F119" s="105"/>
      <c r="G119" s="105"/>
      <c r="H119" s="105"/>
    </row>
    <row r="120" spans="6:8" x14ac:dyDescent="0.25">
      <c r="F120" s="105"/>
      <c r="G120" s="105"/>
      <c r="H120" s="105"/>
    </row>
    <row r="121" spans="6:8" x14ac:dyDescent="0.25">
      <c r="F121" s="105"/>
      <c r="G121" s="105"/>
      <c r="H121" s="105"/>
    </row>
    <row r="122" spans="6:8" x14ac:dyDescent="0.25">
      <c r="F122" s="105"/>
      <c r="G122" s="105"/>
      <c r="H122" s="105"/>
    </row>
    <row r="123" spans="6:8" x14ac:dyDescent="0.25">
      <c r="F123" s="105"/>
      <c r="G123" s="105"/>
      <c r="H123" s="105"/>
    </row>
  </sheetData>
  <mergeCells count="2">
    <mergeCell ref="D1:L1"/>
    <mergeCell ref="A8:B8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L34"/>
  <sheetViews>
    <sheetView workbookViewId="0">
      <selection activeCell="I16" sqref="I16"/>
    </sheetView>
  </sheetViews>
  <sheetFormatPr defaultColWidth="9.140625" defaultRowHeight="12.75" x14ac:dyDescent="0.2"/>
  <cols>
    <col min="1" max="1" width="4.28515625" style="71" customWidth="1"/>
    <col min="2" max="2" width="28.28515625" style="71" customWidth="1"/>
    <col min="3" max="3" width="16.5703125" style="71" customWidth="1"/>
    <col min="4" max="4" width="18.140625" style="71" customWidth="1"/>
    <col min="5" max="5" width="16.28515625" style="71" customWidth="1"/>
    <col min="6" max="6" width="14.5703125" style="71" customWidth="1"/>
    <col min="7" max="7" width="13.42578125" style="71" customWidth="1"/>
    <col min="8" max="8" width="12.7109375" style="71" customWidth="1"/>
    <col min="9" max="9" width="13.140625" style="71" customWidth="1"/>
    <col min="10" max="10" width="11.7109375" style="71" customWidth="1"/>
    <col min="11" max="11" width="15.42578125" style="71" customWidth="1"/>
    <col min="12" max="12" width="7.5703125" style="71" customWidth="1"/>
    <col min="13" max="73" width="9.140625" style="71" customWidth="1"/>
    <col min="74" max="16384" width="9.140625" style="71"/>
  </cols>
  <sheetData>
    <row r="1" spans="2:12" ht="14.45" customHeight="1" thickBot="1" x14ac:dyDescent="0.25">
      <c r="B1" s="19" t="s">
        <v>34</v>
      </c>
    </row>
    <row r="2" spans="2:12" ht="14.45" customHeight="1" thickBot="1" x14ac:dyDescent="0.25">
      <c r="C2" s="20" t="s">
        <v>35</v>
      </c>
      <c r="D2" s="21" t="s">
        <v>36</v>
      </c>
      <c r="E2" s="22" t="s">
        <v>37</v>
      </c>
    </row>
    <row r="3" spans="2:12" ht="14.45" customHeight="1" thickBot="1" x14ac:dyDescent="0.25">
      <c r="B3" s="23" t="s">
        <v>38</v>
      </c>
      <c r="C3" s="78" t="str">
        <f>'T1 Empty Room'!C43</f>
        <v>20</v>
      </c>
      <c r="D3" s="79">
        <f>'T1 Empty Room'!B43/100</f>
        <v>0.6</v>
      </c>
      <c r="E3" s="80" t="str">
        <f>'T1 Empty Room'!D43</f>
        <v>101</v>
      </c>
    </row>
    <row r="4" spans="2:12" ht="14.45" customHeight="1" thickBot="1" x14ac:dyDescent="0.25">
      <c r="B4" s="25" t="s">
        <v>39</v>
      </c>
      <c r="C4" s="81">
        <f>'T2 With Sample'!F43</f>
        <v>19.600000000000001</v>
      </c>
      <c r="D4" s="82">
        <f>'T2 With Sample'!E43/100</f>
        <v>0.63</v>
      </c>
      <c r="E4" s="83">
        <f>'T2 With Sample'!G43</f>
        <v>101</v>
      </c>
    </row>
    <row r="5" spans="2:12" ht="14.45" customHeight="1" thickBot="1" x14ac:dyDescent="0.25">
      <c r="B5" s="26"/>
      <c r="C5" s="27"/>
      <c r="D5" s="27"/>
      <c r="E5" s="27"/>
    </row>
    <row r="6" spans="2:12" ht="14.45" customHeight="1" thickBot="1" x14ac:dyDescent="0.25">
      <c r="B6" s="28" t="s">
        <v>40</v>
      </c>
      <c r="C6" s="29">
        <v>219</v>
      </c>
    </row>
    <row r="7" spans="2:12" ht="14.45" customHeight="1" thickBot="1" x14ac:dyDescent="0.25"/>
    <row r="8" spans="2:12" ht="14.45" customHeight="1" thickBot="1" x14ac:dyDescent="0.25">
      <c r="C8" s="30" t="s">
        <v>41</v>
      </c>
      <c r="D8" s="31" t="s">
        <v>42</v>
      </c>
    </row>
    <row r="9" spans="2:12" x14ac:dyDescent="0.2">
      <c r="B9" s="32" t="s">
        <v>43</v>
      </c>
      <c r="C9" s="24">
        <f>331 + 0.6*C3</f>
        <v>343</v>
      </c>
      <c r="D9" s="33">
        <f>331 + 0.6*C4</f>
        <v>342.76</v>
      </c>
    </row>
    <row r="10" spans="2:12" x14ac:dyDescent="0.2">
      <c r="B10" s="34" t="s">
        <v>44</v>
      </c>
      <c r="C10" s="106">
        <f>D3 * 10^( (-6.8346*(273.16/(C3+273.15))^1.261 + 4.6151) ) * (E3/101.352)</f>
        <v>1.3788395153664023E-2</v>
      </c>
      <c r="D10" s="107">
        <f>D4* 10^( (-6.8346*(273.16/(C4+273.15))^1.261 + 4.6151) ) * (E4/101.352)</f>
        <v>1.4123056281118282E-2</v>
      </c>
    </row>
    <row r="11" spans="2:12" x14ac:dyDescent="0.2">
      <c r="B11" s="34" t="s">
        <v>45</v>
      </c>
      <c r="C11" s="35">
        <f>(E3/101.325)*(24 + 4.04*(10^4)*C10*((0.02+C10)/(0.391+C10)))</f>
        <v>70.271912242367563</v>
      </c>
      <c r="D11" s="36">
        <f>(E4/101.325)*(24 + 4.04*(10^4)*D10*((0.02+D10)/(0.391+D10)))</f>
        <v>71.827461167100196</v>
      </c>
    </row>
    <row r="12" spans="2:12" ht="14.45" customHeight="1" thickBot="1" x14ac:dyDescent="0.25">
      <c r="B12" s="37" t="s">
        <v>46</v>
      </c>
      <c r="C12" s="38">
        <f>(E3/101.325)*((C3+273.15)/293.15)^(-0.5) * (9 + 280*C10*EXP(-4.17*(((C3+273.15)/293.15)^(-1/3) - 1)))</f>
        <v>12.819499777405563</v>
      </c>
      <c r="D12" s="39">
        <f>(E4/101.325)*((C4+273.15)/293.15)^(-0.5) * (9 + 280*D10*EXP(-4.17*(((C4+273.15)/293.15)^(-1/3) - 1)))</f>
        <v>12.914242181543393</v>
      </c>
    </row>
    <row r="13" spans="2:12" ht="14.45" customHeight="1" thickBot="1" x14ac:dyDescent="0.25"/>
    <row r="14" spans="2:12" ht="14.45" customHeight="1" thickBot="1" x14ac:dyDescent="0.3">
      <c r="C14" s="135" t="s">
        <v>47</v>
      </c>
      <c r="D14" s="130"/>
      <c r="E14" s="136" t="s">
        <v>48</v>
      </c>
      <c r="F14" s="131"/>
      <c r="G14" s="137" t="s">
        <v>49</v>
      </c>
      <c r="H14" s="138"/>
      <c r="I14" s="137" t="s">
        <v>50</v>
      </c>
      <c r="J14" s="138"/>
      <c r="K14" s="139" t="s">
        <v>51</v>
      </c>
      <c r="L14" s="133" t="s">
        <v>52</v>
      </c>
    </row>
    <row r="15" spans="2:12" ht="14.45" customHeight="1" thickBot="1" x14ac:dyDescent="0.25">
      <c r="B15" s="118" t="s">
        <v>53</v>
      </c>
      <c r="C15" s="98" t="s">
        <v>41</v>
      </c>
      <c r="D15" s="99" t="s">
        <v>54</v>
      </c>
      <c r="E15" s="100" t="s">
        <v>41</v>
      </c>
      <c r="F15" s="101" t="s">
        <v>54</v>
      </c>
      <c r="G15" s="100" t="s">
        <v>55</v>
      </c>
      <c r="H15" s="101" t="s">
        <v>56</v>
      </c>
      <c r="I15" s="100" t="s">
        <v>41</v>
      </c>
      <c r="J15" s="101" t="s">
        <v>54</v>
      </c>
      <c r="K15" s="134"/>
      <c r="L15" s="134"/>
    </row>
    <row r="16" spans="2:12" x14ac:dyDescent="0.2">
      <c r="B16" s="40">
        <v>100</v>
      </c>
      <c r="C16" s="108">
        <f t="shared" ref="C16:C33" si="0">8.686*(B16^2) * ( (0.0000000000184*(101.325/$E$3)*(($C$3+273.15)/293.15)^(0.5)) + (($C$3+273.15)/293.15)^(-5/2)*(0.01275*(EXP(-2239.1/($C$3+273.15)))*($C$11+((B16^2)/$C$11))^(-1) + 0.1068*(EXP(-3352/($C$3+273.15)))*($C$12+((B16^2)/$C$12))^(-1)))</f>
        <v>2.6379854769005974E-3</v>
      </c>
      <c r="D16" s="109">
        <f t="shared" ref="D16:D33" si="1">8.686*(B16^2) * ( (0.0000000000184*(101.325/$E$4)*(($C$4+273.15)/293.15)^(0.5)) + (($C$4+273.15)/293.15)^(-5/2)*(0.01275*(EXP(-2239.1/($C$4+273.15)))*($D$11+((B16^2)/$D$11))^(-1) + 0.1068*(EXP(-3352/($C$4+273.15)))*($D$12+((B16^2)/$D$12))^(-1)))</f>
        <v>2.6378020533062226E-3</v>
      </c>
      <c r="E16" s="110">
        <f t="shared" ref="E16:E33" si="2">C16/(10*LOG10(EXP(1)))</f>
        <v>6.074186034646104E-4</v>
      </c>
      <c r="F16" s="111">
        <f t="shared" ref="F16:F33" si="3">D16/(10*LOG10(EXP(1)))</f>
        <v>6.0737636862119929E-4</v>
      </c>
      <c r="G16" s="95">
        <f>'T1 Empty Room'!L20</f>
        <v>3.2281171836284162</v>
      </c>
      <c r="H16" s="95">
        <f>'T2 With Sample'!B10</f>
        <v>3.0853673705161699</v>
      </c>
      <c r="I16" s="41">
        <f t="shared" ref="I16:I33" si="4">(55.3*$C$6/(C$9*G16))-(4*$C$6*E16)</f>
        <v>10.405596949723048</v>
      </c>
      <c r="J16" s="36">
        <f t="shared" ref="J16:J33" si="5">(55.3*$C$6/(D$9*H16))-(4*$C$6*F16)</f>
        <v>10.919698088918599</v>
      </c>
      <c r="K16" s="42">
        <f t="shared" ref="K16:K25" si="6">6.5*($C$6/200)^(2/3)</f>
        <v>6.9054094709481486</v>
      </c>
      <c r="L16" s="43">
        <f t="shared" ref="L16:L33" si="7">IF((K16-I16)&gt;0,1,0)</f>
        <v>0</v>
      </c>
    </row>
    <row r="17" spans="2:12" x14ac:dyDescent="0.2">
      <c r="B17" s="40">
        <v>125</v>
      </c>
      <c r="C17" s="108">
        <f t="shared" si="0"/>
        <v>2.9786601414123247E-3</v>
      </c>
      <c r="D17" s="109">
        <f t="shared" si="1"/>
        <v>2.9899561535628809E-3</v>
      </c>
      <c r="E17" s="110">
        <f t="shared" si="2"/>
        <v>6.8586184387115553E-4</v>
      </c>
      <c r="F17" s="111">
        <f t="shared" si="3"/>
        <v>6.8846284678997054E-4</v>
      </c>
      <c r="G17" s="95">
        <f>'T1 Empty Room'!L21</f>
        <v>3.8002219397843779</v>
      </c>
      <c r="H17" s="95">
        <f>'T2 With Sample'!B11</f>
        <v>2.6935938832354398</v>
      </c>
      <c r="I17" s="41">
        <f t="shared" si="4"/>
        <v>8.6902642892892654</v>
      </c>
      <c r="J17" s="36">
        <f t="shared" si="5"/>
        <v>12.514283372863282</v>
      </c>
      <c r="K17" s="42">
        <f t="shared" si="6"/>
        <v>6.9054094709481486</v>
      </c>
      <c r="L17" s="43">
        <f t="shared" si="7"/>
        <v>0</v>
      </c>
    </row>
    <row r="18" spans="2:12" x14ac:dyDescent="0.2">
      <c r="B18" s="40">
        <v>160</v>
      </c>
      <c r="C18" s="108">
        <f t="shared" si="0"/>
        <v>3.274870953522256E-3</v>
      </c>
      <c r="D18" s="109">
        <f t="shared" si="1"/>
        <v>3.2984048794177778E-3</v>
      </c>
      <c r="E18" s="110">
        <f t="shared" si="2"/>
        <v>7.5406690390595428E-4</v>
      </c>
      <c r="F18" s="111">
        <f t="shared" si="3"/>
        <v>7.5948579060061976E-4</v>
      </c>
      <c r="G18" s="95">
        <f>'T1 Empty Room'!L22</f>
        <v>3.233056838564881</v>
      </c>
      <c r="H18" s="95">
        <f>'T2 With Sample'!B12</f>
        <v>3.08017053107507</v>
      </c>
      <c r="I18" s="41">
        <f t="shared" si="4"/>
        <v>10.260421781979286</v>
      </c>
      <c r="J18" s="36">
        <f t="shared" si="5"/>
        <v>10.80577155411207</v>
      </c>
      <c r="K18" s="42">
        <f t="shared" si="6"/>
        <v>6.9054094709481486</v>
      </c>
      <c r="L18" s="43">
        <f t="shared" si="7"/>
        <v>0</v>
      </c>
    </row>
    <row r="19" spans="2:12" x14ac:dyDescent="0.2">
      <c r="B19" s="40">
        <v>200</v>
      </c>
      <c r="C19" s="108">
        <f t="shared" si="0"/>
        <v>3.4717453322879177E-3</v>
      </c>
      <c r="D19" s="109">
        <f t="shared" si="1"/>
        <v>3.5045361287648824E-3</v>
      </c>
      <c r="E19" s="110">
        <f t="shared" si="2"/>
        <v>7.9939890487978188E-4</v>
      </c>
      <c r="F19" s="111">
        <f t="shared" si="3"/>
        <v>8.0694926479530792E-4</v>
      </c>
      <c r="G19" s="95">
        <f>'T1 Empty Room'!L23</f>
        <v>3.5095659103674901</v>
      </c>
      <c r="H19" s="95">
        <f>'T2 With Sample'!B13</f>
        <v>2.86742065996224</v>
      </c>
      <c r="I19" s="41">
        <f t="shared" si="4"/>
        <v>9.3602765438699702</v>
      </c>
      <c r="J19" s="36">
        <f t="shared" si="5"/>
        <v>11.615296795193256</v>
      </c>
      <c r="K19" s="42">
        <f t="shared" si="6"/>
        <v>6.9054094709481486</v>
      </c>
      <c r="L19" s="43">
        <f t="shared" si="7"/>
        <v>0</v>
      </c>
    </row>
    <row r="20" spans="2:12" x14ac:dyDescent="0.2">
      <c r="B20" s="40">
        <v>250</v>
      </c>
      <c r="C20" s="108">
        <f t="shared" si="0"/>
        <v>3.6129985579847661E-3</v>
      </c>
      <c r="D20" s="109">
        <f t="shared" si="1"/>
        <v>3.652906003496036E-3</v>
      </c>
      <c r="E20" s="110">
        <f t="shared" si="2"/>
        <v>8.3192366206247053E-4</v>
      </c>
      <c r="F20" s="111">
        <f t="shared" si="3"/>
        <v>8.4111269097584271E-4</v>
      </c>
      <c r="G20" s="95">
        <f>'T1 Empty Room'!L24</f>
        <v>3.4124850805347702</v>
      </c>
      <c r="H20" s="95">
        <f>'T2 With Sample'!B14</f>
        <v>2.4653939847469299</v>
      </c>
      <c r="I20" s="41">
        <f t="shared" si="4"/>
        <v>9.6179946180928777</v>
      </c>
      <c r="J20" s="36">
        <f t="shared" si="5"/>
        <v>13.594722636556991</v>
      </c>
      <c r="K20" s="42">
        <f t="shared" si="6"/>
        <v>6.9054094709481486</v>
      </c>
      <c r="L20" s="43">
        <f t="shared" si="7"/>
        <v>0</v>
      </c>
    </row>
    <row r="21" spans="2:12" x14ac:dyDescent="0.2">
      <c r="B21" s="40">
        <v>315</v>
      </c>
      <c r="C21" s="108">
        <f t="shared" si="0"/>
        <v>3.7158050625798384E-3</v>
      </c>
      <c r="D21" s="109">
        <f t="shared" si="1"/>
        <v>3.7610056277722274E-3</v>
      </c>
      <c r="E21" s="110">
        <f t="shared" si="2"/>
        <v>8.5559573455681426E-4</v>
      </c>
      <c r="F21" s="111">
        <f t="shared" si="3"/>
        <v>8.6600354931750431E-4</v>
      </c>
      <c r="G21" s="95">
        <f>'T1 Empty Room'!L25</f>
        <v>3.3600062628875409</v>
      </c>
      <c r="H21" s="95">
        <f>'T2 With Sample'!B15</f>
        <v>2.51756531854413</v>
      </c>
      <c r="I21" s="41">
        <f t="shared" si="4"/>
        <v>9.758860473615897</v>
      </c>
      <c r="J21" s="36">
        <f t="shared" si="5"/>
        <v>13.275926776898135</v>
      </c>
      <c r="K21" s="42">
        <f t="shared" si="6"/>
        <v>6.9054094709481486</v>
      </c>
      <c r="L21" s="43">
        <f t="shared" si="7"/>
        <v>0</v>
      </c>
    </row>
    <row r="22" spans="2:12" x14ac:dyDescent="0.2">
      <c r="B22" s="40">
        <v>400</v>
      </c>
      <c r="C22" s="108">
        <f t="shared" si="0"/>
        <v>3.7911230689218318E-3</v>
      </c>
      <c r="D22" s="109">
        <f t="shared" si="1"/>
        <v>3.8400347826031164E-3</v>
      </c>
      <c r="E22" s="110">
        <f t="shared" si="2"/>
        <v>8.7293834642052472E-4</v>
      </c>
      <c r="F22" s="111">
        <f t="shared" si="3"/>
        <v>8.8420068470005666E-4</v>
      </c>
      <c r="G22" s="95">
        <f>'T1 Empty Room'!L26</f>
        <v>2.8156949447522401</v>
      </c>
      <c r="H22" s="95">
        <f>'T2 With Sample'!B16</f>
        <v>2.5739118470851001</v>
      </c>
      <c r="I22" s="41">
        <f t="shared" si="4"/>
        <v>11.775074683090303</v>
      </c>
      <c r="J22" s="36">
        <f t="shared" si="5"/>
        <v>12.952750257218094</v>
      </c>
      <c r="K22" s="42">
        <f t="shared" si="6"/>
        <v>6.9054094709481486</v>
      </c>
      <c r="L22" s="43">
        <f t="shared" si="7"/>
        <v>0</v>
      </c>
    </row>
    <row r="23" spans="2:12" x14ac:dyDescent="0.2">
      <c r="B23" s="40">
        <v>500</v>
      </c>
      <c r="C23" s="108">
        <f t="shared" si="0"/>
        <v>3.8452277997175388E-3</v>
      </c>
      <c r="D23" s="109">
        <f t="shared" si="1"/>
        <v>3.8964316455678298E-3</v>
      </c>
      <c r="E23" s="110">
        <f t="shared" si="2"/>
        <v>8.8539642107958981E-4</v>
      </c>
      <c r="F23" s="111">
        <f t="shared" si="3"/>
        <v>8.9718654229547438E-4</v>
      </c>
      <c r="G23" s="95">
        <f>'T1 Empty Room'!L27</f>
        <v>2.6864932846101528</v>
      </c>
      <c r="H23" s="95">
        <f>'T2 With Sample'!B17</f>
        <v>2.43999449598294</v>
      </c>
      <c r="I23" s="41">
        <f t="shared" si="4"/>
        <v>12.367237151523662</v>
      </c>
      <c r="J23" s="36">
        <f t="shared" si="5"/>
        <v>13.694788230962361</v>
      </c>
      <c r="K23" s="42">
        <f t="shared" si="6"/>
        <v>6.9054094709481486</v>
      </c>
      <c r="L23" s="43">
        <f t="shared" si="7"/>
        <v>0</v>
      </c>
    </row>
    <row r="24" spans="2:12" x14ac:dyDescent="0.2">
      <c r="B24" s="40">
        <v>630</v>
      </c>
      <c r="C24" s="108">
        <f t="shared" si="0"/>
        <v>3.8953610111081083E-3</v>
      </c>
      <c r="D24" s="109">
        <f t="shared" si="1"/>
        <v>3.9481131945714541E-3</v>
      </c>
      <c r="E24" s="110">
        <f t="shared" si="2"/>
        <v>8.9694001960077428E-4</v>
      </c>
      <c r="F24" s="111">
        <f t="shared" si="3"/>
        <v>9.0908665872733302E-4</v>
      </c>
      <c r="G24" s="95">
        <f>'T1 Empty Room'!L28</f>
        <v>2.2791547685403888</v>
      </c>
      <c r="H24" s="95">
        <f>'T2 With Sample'!B18</f>
        <v>2.3138618539096298</v>
      </c>
      <c r="I24" s="41">
        <f t="shared" si="4"/>
        <v>14.70606010632031</v>
      </c>
      <c r="J24" s="36">
        <f t="shared" si="5"/>
        <v>14.473733210561965</v>
      </c>
      <c r="K24" s="42">
        <f t="shared" si="6"/>
        <v>6.9054094709481486</v>
      </c>
      <c r="L24" s="43">
        <f t="shared" si="7"/>
        <v>0</v>
      </c>
    </row>
    <row r="25" spans="2:12" x14ac:dyDescent="0.2">
      <c r="B25" s="40">
        <v>800</v>
      </c>
      <c r="C25" s="108">
        <f t="shared" si="0"/>
        <v>3.9517258731425657E-3</v>
      </c>
      <c r="D25" s="109">
        <f t="shared" si="1"/>
        <v>4.0054844580125473E-3</v>
      </c>
      <c r="E25" s="110">
        <f t="shared" si="2"/>
        <v>9.0991850870969504E-4</v>
      </c>
      <c r="F25" s="111">
        <f t="shared" si="3"/>
        <v>9.2229688032390261E-4</v>
      </c>
      <c r="G25" s="95">
        <f>'T1 Empty Room'!L29</f>
        <v>2.066983963025959</v>
      </c>
      <c r="H25" s="95">
        <f>'T2 With Sample'!B19</f>
        <v>2.1123592288966901</v>
      </c>
      <c r="I25" s="41">
        <f t="shared" si="4"/>
        <v>16.284883911022494</v>
      </c>
      <c r="J25" s="36">
        <f t="shared" si="5"/>
        <v>15.918809057648167</v>
      </c>
      <c r="K25" s="42">
        <f t="shared" si="6"/>
        <v>6.9054094709481486</v>
      </c>
      <c r="L25" s="43">
        <f t="shared" si="7"/>
        <v>0</v>
      </c>
    </row>
    <row r="26" spans="2:12" x14ac:dyDescent="0.2">
      <c r="B26" s="40">
        <v>1000</v>
      </c>
      <c r="C26" s="108">
        <f t="shared" si="0"/>
        <v>4.0197426571257962E-3</v>
      </c>
      <c r="D26" s="109">
        <f t="shared" si="1"/>
        <v>4.074077133086453E-3</v>
      </c>
      <c r="E26" s="110">
        <f t="shared" si="2"/>
        <v>9.2557995199701339E-4</v>
      </c>
      <c r="F26" s="111">
        <f t="shared" si="3"/>
        <v>9.3809092743527857E-4</v>
      </c>
      <c r="G26" s="95">
        <f>'T1 Empty Room'!L30</f>
        <v>2.1361667536627209</v>
      </c>
      <c r="H26" s="95">
        <f>'T2 With Sample'!B20</f>
        <v>1.9865323522312699</v>
      </c>
      <c r="I26" s="41">
        <f t="shared" si="4"/>
        <v>15.717940574379652</v>
      </c>
      <c r="J26" s="36">
        <f t="shared" si="5"/>
        <v>16.964444560358697</v>
      </c>
      <c r="K26" s="42">
        <f>7*($C$6/200)^(2/3)</f>
        <v>7.4365948148672363</v>
      </c>
      <c r="L26" s="43">
        <f t="shared" si="7"/>
        <v>0</v>
      </c>
    </row>
    <row r="27" spans="2:12" x14ac:dyDescent="0.2">
      <c r="B27" s="40">
        <v>1250</v>
      </c>
      <c r="C27" s="108">
        <f t="shared" si="0"/>
        <v>4.116551098889169E-3</v>
      </c>
      <c r="D27" s="109">
        <f t="shared" si="1"/>
        <v>4.171221005791796E-3</v>
      </c>
      <c r="E27" s="110">
        <f t="shared" si="2"/>
        <v>9.4787091948504579E-4</v>
      </c>
      <c r="F27" s="111">
        <f t="shared" si="3"/>
        <v>9.6045913075198193E-4</v>
      </c>
      <c r="G27" s="95">
        <f>'T1 Empty Room'!L31</f>
        <v>2.041603410859723</v>
      </c>
      <c r="H27" s="95">
        <f>'T2 With Sample'!B21</f>
        <v>1.94548757954165</v>
      </c>
      <c r="I27" s="41">
        <f t="shared" si="4"/>
        <v>16.463995147401512</v>
      </c>
      <c r="J27" s="36">
        <f t="shared" si="5"/>
        <v>17.320093241175012</v>
      </c>
      <c r="K27" s="42">
        <f>7.5*($C$6/200)^(2/3)</f>
        <v>7.9677801587863248</v>
      </c>
      <c r="L27" s="43">
        <f t="shared" si="7"/>
        <v>0</v>
      </c>
    </row>
    <row r="28" spans="2:12" x14ac:dyDescent="0.2">
      <c r="B28" s="40">
        <v>1600</v>
      </c>
      <c r="C28" s="108">
        <f t="shared" si="0"/>
        <v>4.2810857701593413E-3</v>
      </c>
      <c r="D28" s="109">
        <f t="shared" si="1"/>
        <v>4.3359229951212769E-3</v>
      </c>
      <c r="E28" s="110">
        <f t="shared" si="2"/>
        <v>9.8575642761978329E-4</v>
      </c>
      <c r="F28" s="111">
        <f t="shared" si="3"/>
        <v>9.9838316529363472E-4</v>
      </c>
      <c r="G28" s="95">
        <f>'T1 Empty Room'!L32</f>
        <v>1.937716921204117</v>
      </c>
      <c r="H28" s="95">
        <f>'T2 With Sample'!B22</f>
        <v>1.89120420399092</v>
      </c>
      <c r="I28" s="41">
        <f t="shared" si="4"/>
        <v>17.358005436242237</v>
      </c>
      <c r="J28" s="36">
        <f t="shared" si="5"/>
        <v>17.808161399165378</v>
      </c>
      <c r="K28" s="42">
        <f>8*($C$6/200)^(2/3)</f>
        <v>8.4989655027054134</v>
      </c>
      <c r="L28" s="43">
        <f t="shared" si="7"/>
        <v>0</v>
      </c>
    </row>
    <row r="29" spans="2:12" x14ac:dyDescent="0.2">
      <c r="B29" s="40">
        <v>2000</v>
      </c>
      <c r="C29" s="108">
        <f t="shared" si="0"/>
        <v>4.5145688989613646E-3</v>
      </c>
      <c r="D29" s="109">
        <f t="shared" si="1"/>
        <v>4.5694049907233662E-3</v>
      </c>
      <c r="E29" s="110">
        <f t="shared" si="2"/>
        <v>1.0395179048042979E-3</v>
      </c>
      <c r="F29" s="111">
        <f t="shared" si="3"/>
        <v>1.0521443815492218E-3</v>
      </c>
      <c r="G29" s="95">
        <f>'T1 Empty Room'!L33</f>
        <v>1.835502897647654</v>
      </c>
      <c r="H29" s="95">
        <f>'T2 With Sample'!B23</f>
        <v>1.78641959380725</v>
      </c>
      <c r="I29" s="41">
        <f t="shared" si="4"/>
        <v>18.325616325458324</v>
      </c>
      <c r="J29" s="36">
        <f t="shared" si="5"/>
        <v>18.856925667645619</v>
      </c>
      <c r="K29" s="42">
        <f>9.5*($C$6/200)^(2/3)</f>
        <v>10.092521534462678</v>
      </c>
      <c r="L29" s="43">
        <f t="shared" si="7"/>
        <v>0</v>
      </c>
    </row>
    <row r="30" spans="2:12" x14ac:dyDescent="0.2">
      <c r="B30" s="40">
        <v>2500</v>
      </c>
      <c r="C30" s="108">
        <f t="shared" si="0"/>
        <v>4.8769912373479553E-3</v>
      </c>
      <c r="D30" s="109">
        <f t="shared" si="1"/>
        <v>4.9316814456833204E-3</v>
      </c>
      <c r="E30" s="110">
        <f t="shared" si="2"/>
        <v>1.1229687321779988E-3</v>
      </c>
      <c r="F30" s="111">
        <f t="shared" si="3"/>
        <v>1.1355616180225739E-3</v>
      </c>
      <c r="G30" s="95">
        <f>'T1 Empty Room'!L34</f>
        <v>1.7499824465705329</v>
      </c>
      <c r="H30" s="95">
        <f>'T2 With Sample'!B24</f>
        <v>1.7275117172524701</v>
      </c>
      <c r="I30" s="41">
        <f t="shared" si="4"/>
        <v>19.192575064034433</v>
      </c>
      <c r="J30" s="36">
        <f t="shared" si="5"/>
        <v>19.458299444201195</v>
      </c>
      <c r="K30" s="42">
        <f>10.5*($C$6/200)^(2/3)</f>
        <v>11.154892222300855</v>
      </c>
      <c r="L30" s="43">
        <f t="shared" si="7"/>
        <v>0</v>
      </c>
    </row>
    <row r="31" spans="2:12" x14ac:dyDescent="0.2">
      <c r="B31" s="40">
        <v>3150</v>
      </c>
      <c r="C31" s="108">
        <f t="shared" si="0"/>
        <v>5.4669239249714825E-3</v>
      </c>
      <c r="D31" s="109">
        <f t="shared" si="1"/>
        <v>5.521278365506835E-3</v>
      </c>
      <c r="E31" s="110">
        <f t="shared" si="2"/>
        <v>1.2588057534171835E-3</v>
      </c>
      <c r="F31" s="111">
        <f t="shared" si="3"/>
        <v>1.2713213258686569E-3</v>
      </c>
      <c r="G31" s="95">
        <f>'T1 Empty Room'!L35</f>
        <v>1.689137217015287</v>
      </c>
      <c r="H31" s="95">
        <f>'T2 With Sample'!B25</f>
        <v>1.62578605531623</v>
      </c>
      <c r="I31" s="41">
        <f t="shared" si="4"/>
        <v>19.80036194901545</v>
      </c>
      <c r="J31" s="36">
        <f t="shared" si="5"/>
        <v>20.619124241635195</v>
      </c>
      <c r="K31" s="42">
        <f>12*($C$6/200)^(2/3)</f>
        <v>12.74844825405812</v>
      </c>
      <c r="L31" s="43">
        <f t="shared" si="7"/>
        <v>0</v>
      </c>
    </row>
    <row r="32" spans="2:12" x14ac:dyDescent="0.2">
      <c r="B32" s="40">
        <v>4000</v>
      </c>
      <c r="C32" s="108">
        <f t="shared" si="0"/>
        <v>6.4420790773100992E-3</v>
      </c>
      <c r="D32" s="109">
        <f t="shared" si="1"/>
        <v>6.4958112460841502E-3</v>
      </c>
      <c r="E32" s="110">
        <f t="shared" si="2"/>
        <v>1.4833435251303071E-3</v>
      </c>
      <c r="F32" s="111">
        <f t="shared" si="3"/>
        <v>1.4957158142136441E-3</v>
      </c>
      <c r="G32" s="95">
        <f>'T1 Empty Room'!L36</f>
        <v>1.566248293281024</v>
      </c>
      <c r="H32" s="95">
        <f>'T2 With Sample'!B26</f>
        <v>1.5169488289806801</v>
      </c>
      <c r="I32" s="41">
        <f t="shared" si="4"/>
        <v>21.243736636308551</v>
      </c>
      <c r="J32" s="36">
        <f t="shared" si="5"/>
        <v>21.98182800514374</v>
      </c>
      <c r="K32" s="42">
        <f>13*($C$6/200)^(2/3)</f>
        <v>13.810818941896297</v>
      </c>
      <c r="L32" s="43">
        <f t="shared" si="7"/>
        <v>0</v>
      </c>
    </row>
    <row r="33" spans="2:12" ht="14.45" customHeight="1" thickBot="1" x14ac:dyDescent="0.25">
      <c r="B33" s="44">
        <v>5000</v>
      </c>
      <c r="C33" s="112">
        <f t="shared" si="0"/>
        <v>7.8855260307631007E-3</v>
      </c>
      <c r="D33" s="113">
        <f t="shared" si="1"/>
        <v>7.9382985134034724E-3</v>
      </c>
      <c r="E33" s="114">
        <f t="shared" si="2"/>
        <v>1.8157094688851622E-3</v>
      </c>
      <c r="F33" s="115">
        <f t="shared" si="3"/>
        <v>1.8278607820699628E-3</v>
      </c>
      <c r="G33" s="96">
        <f>'T1 Empty Room'!L37</f>
        <v>1.444403817730497</v>
      </c>
      <c r="H33" s="96">
        <f>'T2 With Sample'!B27</f>
        <v>1.42489001409366</v>
      </c>
      <c r="I33" s="45">
        <f t="shared" si="4"/>
        <v>22.8542390741056</v>
      </c>
      <c r="J33" s="39">
        <f t="shared" si="5"/>
        <v>23.195715566317311</v>
      </c>
      <c r="K33" s="46">
        <f>14*($C$6/200)^(2/3)</f>
        <v>14.873189629734473</v>
      </c>
      <c r="L33" s="43">
        <f t="shared" si="7"/>
        <v>0</v>
      </c>
    </row>
    <row r="34" spans="2:12" ht="14.45" customHeight="1" thickBot="1" x14ac:dyDescent="0.25">
      <c r="H34" s="97"/>
      <c r="L34" s="55" t="b">
        <f>IF(SUM(L16:L33)=18,TRUE,FALSE)</f>
        <v>0</v>
      </c>
    </row>
  </sheetData>
  <mergeCells count="6">
    <mergeCell ref="L14:L15"/>
    <mergeCell ref="C14:D14"/>
    <mergeCell ref="E14:F14"/>
    <mergeCell ref="I14:J14"/>
    <mergeCell ref="G14:H14"/>
    <mergeCell ref="K14:K15"/>
  </mergeCells>
  <conditionalFormatting sqref="L16:L33">
    <cfRule type="cellIs" dxfId="2" priority="1" operator="lessThan">
      <formula>0</formula>
    </cfRule>
    <cfRule type="cellIs" dxfId="1" priority="2" operator="equal">
      <formula>1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Z79"/>
  <sheetViews>
    <sheetView tabSelected="1" topLeftCell="A10" zoomScale="145" zoomScaleNormal="145" workbookViewId="0">
      <selection activeCell="M24" sqref="M24"/>
    </sheetView>
  </sheetViews>
  <sheetFormatPr defaultColWidth="9.140625" defaultRowHeight="11.25" x14ac:dyDescent="0.2"/>
  <cols>
    <col min="1" max="1" width="11" style="120" customWidth="1"/>
    <col min="2" max="2" width="8.7109375" style="120" customWidth="1"/>
    <col min="3" max="3" width="7.85546875" style="120" customWidth="1"/>
    <col min="4" max="4" width="9.140625" style="120" customWidth="1"/>
    <col min="5" max="5" width="7.7109375" style="120" customWidth="1"/>
    <col min="6" max="7" width="9.140625" style="120" customWidth="1"/>
    <col min="8" max="8" width="11.7109375" style="120" customWidth="1"/>
    <col min="9" max="9" width="14.5703125" style="120" customWidth="1"/>
    <col min="10" max="10" width="9.140625" style="120" customWidth="1"/>
    <col min="11" max="11" width="9.7109375" style="120" bestFit="1" customWidth="1"/>
    <col min="12" max="72" width="9.140625" style="120" customWidth="1"/>
    <col min="73" max="16384" width="9.140625" style="120"/>
  </cols>
  <sheetData>
    <row r="1" spans="1:26" ht="15.6" customHeight="1" x14ac:dyDescent="0.25">
      <c r="A1" s="140" t="s">
        <v>57</v>
      </c>
      <c r="B1" s="141"/>
      <c r="C1" s="141"/>
      <c r="D1" s="141"/>
      <c r="E1" s="141"/>
      <c r="F1" s="141"/>
      <c r="G1" s="141"/>
      <c r="H1" s="141"/>
      <c r="I1" s="141"/>
    </row>
    <row r="2" spans="1:26" x14ac:dyDescent="0.2">
      <c r="A2" s="121"/>
      <c r="B2" s="121"/>
      <c r="C2" s="121"/>
      <c r="D2" s="121"/>
      <c r="E2" s="121"/>
      <c r="F2" s="121"/>
      <c r="G2" s="121"/>
      <c r="H2" s="121"/>
      <c r="I2" s="121"/>
      <c r="K2" s="12"/>
    </row>
    <row r="3" spans="1:26" ht="15" customHeight="1" x14ac:dyDescent="0.25">
      <c r="A3" s="153" t="s">
        <v>58</v>
      </c>
      <c r="B3" s="127"/>
      <c r="C3" s="152" t="s">
        <v>59</v>
      </c>
      <c r="D3" s="126"/>
      <c r="E3" s="127"/>
      <c r="F3" s="121"/>
    </row>
    <row r="4" spans="1:26" ht="15" customHeight="1" x14ac:dyDescent="0.25">
      <c r="A4" s="153" t="s">
        <v>60</v>
      </c>
      <c r="B4" s="127"/>
      <c r="C4" s="155">
        <v>44229</v>
      </c>
      <c r="D4" s="126"/>
      <c r="E4" s="127"/>
      <c r="F4" s="121"/>
    </row>
    <row r="5" spans="1:26" ht="15" customHeight="1" x14ac:dyDescent="0.25">
      <c r="A5" s="150" t="s">
        <v>61</v>
      </c>
      <c r="B5" s="127"/>
      <c r="C5" s="152" t="s">
        <v>62</v>
      </c>
      <c r="D5" s="126"/>
      <c r="E5" s="127"/>
      <c r="F5" s="121"/>
    </row>
    <row r="6" spans="1:26" ht="30" customHeight="1" x14ac:dyDescent="0.25">
      <c r="A6" s="76" t="s">
        <v>63</v>
      </c>
      <c r="B6" s="119"/>
      <c r="C6" s="156" t="s">
        <v>64</v>
      </c>
      <c r="D6" s="126"/>
      <c r="E6" s="127"/>
      <c r="F6" s="56"/>
      <c r="Q6" s="56"/>
      <c r="R6" s="56"/>
      <c r="S6" s="56"/>
      <c r="T6" s="56"/>
      <c r="U6" s="56"/>
    </row>
    <row r="7" spans="1:26" ht="13.5" customHeight="1" x14ac:dyDescent="0.25">
      <c r="A7" s="150" t="s">
        <v>65</v>
      </c>
      <c r="B7" s="127"/>
      <c r="C7" s="152" t="s">
        <v>66</v>
      </c>
      <c r="D7" s="126"/>
      <c r="E7" s="127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6" ht="13.5" customHeight="1" x14ac:dyDescent="0.25">
      <c r="A8" s="150" t="s">
        <v>67</v>
      </c>
      <c r="B8" s="127"/>
      <c r="C8" s="152" t="s">
        <v>68</v>
      </c>
      <c r="D8" s="126"/>
      <c r="E8" s="127"/>
      <c r="F8" s="56"/>
      <c r="G8" s="157" t="s">
        <v>69</v>
      </c>
      <c r="H8" s="126"/>
      <c r="I8" s="127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</row>
    <row r="9" spans="1:26" ht="15" customHeight="1" x14ac:dyDescent="0.25">
      <c r="A9" s="150" t="s">
        <v>70</v>
      </c>
      <c r="B9" s="127"/>
      <c r="C9" s="152">
        <v>15</v>
      </c>
      <c r="D9" s="126"/>
      <c r="E9" s="127"/>
      <c r="F9" s="56"/>
      <c r="G9" s="151" t="s">
        <v>71</v>
      </c>
      <c r="H9" s="127"/>
      <c r="I9" s="85">
        <f>('Initial Parameters'!C3+'Initial Parameters'!C4)/2</f>
        <v>19.8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</row>
    <row r="10" spans="1:26" ht="15.75" customHeight="1" x14ac:dyDescent="0.25">
      <c r="A10" s="153" t="s">
        <v>72</v>
      </c>
      <c r="B10" s="127"/>
      <c r="C10" s="152">
        <f>2.99*3.59</f>
        <v>10.7341</v>
      </c>
      <c r="D10" s="126"/>
      <c r="E10" s="127"/>
      <c r="F10" s="56"/>
      <c r="G10" s="151" t="s">
        <v>73</v>
      </c>
      <c r="H10" s="127"/>
      <c r="I10" s="85">
        <f>('Initial Parameters'!D3+'Initial Parameters'!D4)/2</f>
        <v>0.61499999999999999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</row>
    <row r="11" spans="1:26" ht="13.5" customHeight="1" x14ac:dyDescent="0.25">
      <c r="A11" s="153" t="s">
        <v>74</v>
      </c>
      <c r="B11" s="127"/>
      <c r="C11" s="152" t="s">
        <v>75</v>
      </c>
      <c r="D11" s="126"/>
      <c r="E11" s="127"/>
      <c r="F11" s="56"/>
      <c r="G11" s="151" t="s">
        <v>76</v>
      </c>
      <c r="H11" s="127"/>
      <c r="I11" s="85">
        <f>('Initial Parameters'!E3+'Initial Parameters'!E4)/2</f>
        <v>101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</row>
    <row r="12" spans="1:26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6" x14ac:dyDescent="0.2">
      <c r="A13" s="154"/>
      <c r="B13" s="141"/>
      <c r="C13" s="141"/>
      <c r="D13" s="141"/>
      <c r="T13" s="11"/>
      <c r="U13" s="11"/>
      <c r="V13" s="11"/>
      <c r="W13" s="11"/>
      <c r="X13" s="11"/>
      <c r="Y13" s="11"/>
    </row>
    <row r="14" spans="1:26" ht="15" customHeight="1" x14ac:dyDescent="0.25">
      <c r="A14" s="148" t="s">
        <v>77</v>
      </c>
      <c r="B14" s="126"/>
      <c r="C14" s="149" t="str">
        <f>C5</f>
        <v>C Max tec</v>
      </c>
      <c r="D14" s="127"/>
      <c r="Z14" s="11"/>
    </row>
    <row r="15" spans="1:26" ht="30.6" customHeight="1" x14ac:dyDescent="0.2">
      <c r="A15" s="18" t="s">
        <v>78</v>
      </c>
      <c r="B15" s="18" t="s">
        <v>79</v>
      </c>
      <c r="C15" s="18" t="s">
        <v>80</v>
      </c>
      <c r="D15" s="18" t="s">
        <v>81</v>
      </c>
    </row>
    <row r="16" spans="1:26" x14ac:dyDescent="0.2">
      <c r="A16" s="13">
        <v>100</v>
      </c>
      <c r="B16" s="123">
        <f>'Initial Parameters'!G16</f>
        <v>3.2281171836284162</v>
      </c>
      <c r="C16" s="123">
        <f>'Initial Parameters'!H16</f>
        <v>3.0853673705161699</v>
      </c>
      <c r="D16" s="123">
        <f>('Absorption Area'!C6-'Absorption Area'!B6)/$C$10</f>
        <v>4.7894200649849658E-2</v>
      </c>
    </row>
    <row r="17" spans="1:6" x14ac:dyDescent="0.2">
      <c r="A17" s="13">
        <v>125</v>
      </c>
      <c r="B17" s="123">
        <f>'Initial Parameters'!G17</f>
        <v>3.8002219397843779</v>
      </c>
      <c r="C17" s="123">
        <f>'Initial Parameters'!H17</f>
        <v>2.6935938832354398</v>
      </c>
      <c r="D17" s="123">
        <f>('Absorption Area'!C7-'Absorption Area'!B7)/$C$10</f>
        <v>0.35624962349652201</v>
      </c>
    </row>
    <row r="18" spans="1:6" x14ac:dyDescent="0.2">
      <c r="A18" s="13">
        <v>160</v>
      </c>
      <c r="B18" s="123">
        <f>'Initial Parameters'!G18</f>
        <v>3.233056838564881</v>
      </c>
      <c r="C18" s="123">
        <f>'Initial Parameters'!H18</f>
        <v>3.08017053107507</v>
      </c>
      <c r="D18" s="123">
        <f>('Absorption Area'!C8-'Absorption Area'!B8)/$C$10</f>
        <v>5.0805356027313349E-2</v>
      </c>
    </row>
    <row r="19" spans="1:6" x14ac:dyDescent="0.2">
      <c r="A19" s="13">
        <v>200</v>
      </c>
      <c r="B19" s="123">
        <f>'Initial Parameters'!G19</f>
        <v>3.5095659103674901</v>
      </c>
      <c r="C19" s="123">
        <f>'Initial Parameters'!H19</f>
        <v>2.86742065996224</v>
      </c>
      <c r="D19" s="123">
        <f>('Absorption Area'!C9-'Absorption Area'!B9)/$C$10</f>
        <v>0.21008004875334549</v>
      </c>
    </row>
    <row r="20" spans="1:6" x14ac:dyDescent="0.2">
      <c r="A20" s="13">
        <v>250</v>
      </c>
      <c r="B20" s="123">
        <f>'Initial Parameters'!G20</f>
        <v>3.4124850805347702</v>
      </c>
      <c r="C20" s="123">
        <f>'Initial Parameters'!H20</f>
        <v>2.4653939847469299</v>
      </c>
      <c r="D20" s="123">
        <f>('Absorption Area'!C10-'Absorption Area'!B10)/$C$10</f>
        <v>0.37047614783392308</v>
      </c>
    </row>
    <row r="21" spans="1:6" x14ac:dyDescent="0.2">
      <c r="A21" s="13">
        <v>315</v>
      </c>
      <c r="B21" s="123">
        <f>'Initial Parameters'!G21</f>
        <v>3.3600062628875409</v>
      </c>
      <c r="C21" s="123">
        <f>'Initial Parameters'!H21</f>
        <v>2.51756531854413</v>
      </c>
      <c r="D21" s="123">
        <f>('Absorption Area'!C11-'Absorption Area'!B11)/$C$10</f>
        <v>0.32765358095063751</v>
      </c>
    </row>
    <row r="22" spans="1:6" x14ac:dyDescent="0.2">
      <c r="A22" s="13">
        <v>400</v>
      </c>
      <c r="B22" s="123">
        <f>'Initial Parameters'!G22</f>
        <v>2.8156949447522401</v>
      </c>
      <c r="C22" s="123">
        <f>'Initial Parameters'!H22</f>
        <v>2.5739118470851001</v>
      </c>
      <c r="D22" s="123">
        <f>('Absorption Area'!C12-'Absorption Area'!B12)/$C$10</f>
        <v>0.10971349010422778</v>
      </c>
    </row>
    <row r="23" spans="1:6" x14ac:dyDescent="0.2">
      <c r="A23" s="13">
        <v>500</v>
      </c>
      <c r="B23" s="123">
        <f>'Initial Parameters'!G23</f>
        <v>2.6864932846101528</v>
      </c>
      <c r="C23" s="123">
        <f>'Initial Parameters'!H23</f>
        <v>2.43999449598294</v>
      </c>
      <c r="D23" s="123">
        <f>('Absorption Area'!C13-'Absorption Area'!B13)/$C$10</f>
        <v>0.1236760491740061</v>
      </c>
    </row>
    <row r="24" spans="1:6" x14ac:dyDescent="0.2">
      <c r="A24" s="13">
        <v>630</v>
      </c>
      <c r="B24" s="123">
        <f>'Initial Parameters'!G24</f>
        <v>2.2791547685403888</v>
      </c>
      <c r="C24" s="123">
        <f>'Initial Parameters'!H24</f>
        <v>2.3138618539096298</v>
      </c>
      <c r="D24" s="123">
        <f>('Absorption Area'!C14-'Absorption Area'!B14)/$C$10</f>
        <v>-2.1643816971925398E-2</v>
      </c>
    </row>
    <row r="25" spans="1:6" x14ac:dyDescent="0.2">
      <c r="A25" s="13">
        <v>800</v>
      </c>
      <c r="B25" s="123">
        <f>'Initial Parameters'!G25</f>
        <v>2.066983963025959</v>
      </c>
      <c r="C25" s="123">
        <f>'Initial Parameters'!H25</f>
        <v>2.1123592288966901</v>
      </c>
      <c r="D25" s="123">
        <f>('Absorption Area'!C15-'Absorption Area'!B15)/$C$10</f>
        <v>-3.4103916804792855E-2</v>
      </c>
    </row>
    <row r="26" spans="1:6" x14ac:dyDescent="0.2">
      <c r="A26" s="13">
        <v>1000</v>
      </c>
      <c r="B26" s="123">
        <f>'Initial Parameters'!G26</f>
        <v>2.1361667536627209</v>
      </c>
      <c r="C26" s="123">
        <f>'Initial Parameters'!H26</f>
        <v>1.9865323522312699</v>
      </c>
      <c r="D26" s="123">
        <f>('Absorption Area'!C16-'Absorption Area'!B16)/$C$10</f>
        <v>0.11612561705024593</v>
      </c>
    </row>
    <row r="27" spans="1:6" x14ac:dyDescent="0.2">
      <c r="A27" s="13">
        <v>1250</v>
      </c>
      <c r="B27" s="123">
        <f>'Initial Parameters'!G27</f>
        <v>2.041603410859723</v>
      </c>
      <c r="C27" s="123">
        <f>'Initial Parameters'!H27</f>
        <v>1.94548757954165</v>
      </c>
      <c r="D27" s="123">
        <f>('Absorption Area'!C17-'Absorption Area'!B17)/$C$10</f>
        <v>7.9754995181105112E-2</v>
      </c>
    </row>
    <row r="28" spans="1:6" x14ac:dyDescent="0.2">
      <c r="A28" s="13">
        <v>1600</v>
      </c>
      <c r="B28" s="123">
        <f>'Initial Parameters'!G28</f>
        <v>1.937716921204117</v>
      </c>
      <c r="C28" s="123">
        <f>'Initial Parameters'!H28</f>
        <v>1.89120420399092</v>
      </c>
      <c r="D28" s="123">
        <f>('Absorption Area'!C18-'Absorption Area'!B18)/$C$10</f>
        <v>4.1937001045559558E-2</v>
      </c>
    </row>
    <row r="29" spans="1:6" x14ac:dyDescent="0.2">
      <c r="A29" s="13">
        <v>2000</v>
      </c>
      <c r="B29" s="123">
        <f>'Initial Parameters'!G29</f>
        <v>1.835502897647654</v>
      </c>
      <c r="C29" s="123">
        <f>'Initial Parameters'!H29</f>
        <v>1.78641959380725</v>
      </c>
      <c r="D29" s="123">
        <f>('Absorption Area'!C19-'Absorption Area'!B19)/$C$10</f>
        <v>4.9497334866201698E-2</v>
      </c>
    </row>
    <row r="30" spans="1:6" x14ac:dyDescent="0.2">
      <c r="A30" s="13">
        <v>2500</v>
      </c>
      <c r="B30" s="123">
        <f>'Initial Parameters'!G30</f>
        <v>1.7499824465705329</v>
      </c>
      <c r="C30" s="123">
        <f>'Initial Parameters'!H30</f>
        <v>1.7275117172524701</v>
      </c>
      <c r="D30" s="123">
        <f>('Absorption Area'!C20-'Absorption Area'!B20)/$C$10</f>
        <v>2.4755161603372672E-2</v>
      </c>
    </row>
    <row r="31" spans="1:6" x14ac:dyDescent="0.2">
      <c r="A31" s="13">
        <v>3150</v>
      </c>
      <c r="B31" s="123">
        <f>'Initial Parameters'!G31</f>
        <v>1.689137217015287</v>
      </c>
      <c r="C31" s="123">
        <f>'Initial Parameters'!H31</f>
        <v>1.62578605531623</v>
      </c>
      <c r="D31" s="123">
        <f>('Absorption Area'!C21-'Absorption Area'!B21)/$C$10</f>
        <v>7.6276752836264325E-2</v>
      </c>
    </row>
    <row r="32" spans="1:6" x14ac:dyDescent="0.2">
      <c r="A32" s="50">
        <v>4000</v>
      </c>
      <c r="B32" s="54">
        <f>'Initial Parameters'!G32</f>
        <v>1.566248293281024</v>
      </c>
      <c r="C32" s="54">
        <f>'Initial Parameters'!H32</f>
        <v>1.5169488289806801</v>
      </c>
      <c r="D32" s="54">
        <f>('Absorption Area'!C22-'Absorption Area'!B22)/$C$10</f>
        <v>6.8761365073475078E-2</v>
      </c>
      <c r="F32" s="52"/>
    </row>
    <row r="33" spans="1:8" x14ac:dyDescent="0.2">
      <c r="A33" s="13">
        <v>5000</v>
      </c>
      <c r="B33" s="123">
        <f>'Initial Parameters'!G33</f>
        <v>1.444403817730497</v>
      </c>
      <c r="C33" s="123">
        <f>'Initial Parameters'!H33</f>
        <v>1.42489001409366</v>
      </c>
      <c r="D33" s="123">
        <f>('Absorption Area'!C23-'Absorption Area'!B23)/$C$10</f>
        <v>3.181230771203096E-2</v>
      </c>
      <c r="E33" s="52"/>
    </row>
    <row r="34" spans="1:8" x14ac:dyDescent="0.2">
      <c r="B34" s="11"/>
      <c r="C34" s="51"/>
      <c r="D34" s="116"/>
      <c r="E34" s="53"/>
      <c r="F34" s="11"/>
      <c r="H34" s="116"/>
    </row>
    <row r="36" spans="1:8" x14ac:dyDescent="0.2">
      <c r="A36" s="16" t="s">
        <v>82</v>
      </c>
    </row>
    <row r="37" spans="1:8" ht="15" customHeight="1" x14ac:dyDescent="0.25">
      <c r="A37" s="147" t="s">
        <v>83</v>
      </c>
      <c r="B37" s="126"/>
      <c r="C37" s="126"/>
      <c r="D37" s="126"/>
      <c r="E37" s="126"/>
      <c r="F37" s="126"/>
      <c r="G37" s="127"/>
    </row>
    <row r="38" spans="1:8" ht="23.25" customHeight="1" x14ac:dyDescent="0.2">
      <c r="A38" s="75" t="s">
        <v>53</v>
      </c>
      <c r="B38" s="124">
        <v>125</v>
      </c>
      <c r="C38" s="124">
        <v>250</v>
      </c>
      <c r="D38" s="124">
        <v>500</v>
      </c>
      <c r="E38" s="124">
        <v>1000</v>
      </c>
      <c r="F38" s="124">
        <v>2000</v>
      </c>
      <c r="G38" s="124">
        <v>4000</v>
      </c>
    </row>
    <row r="39" spans="1:8" ht="15" customHeight="1" x14ac:dyDescent="0.2">
      <c r="A39" s="15" t="s">
        <v>84</v>
      </c>
      <c r="B39" s="123">
        <f>IF( ROUND(ROUND((D16+D17+D18)/3,2)/0.05, 0 )*0.05 &gt; 1, 1, ROUND(ROUND((D16+D17+D18)/3,2)/0.05, 0 )*0.05 )</f>
        <v>0.15000000000000002</v>
      </c>
      <c r="C39" s="123">
        <f>IF( ROUND(ROUND((D19+D20+D21)/3,2)/0.05, 0 )*0.05 &gt; 1, 1, ROUND(ROUND((D19+D20+D21)/3,2)/0.05, 0 )*0.05 )</f>
        <v>0.30000000000000004</v>
      </c>
      <c r="D39" s="123">
        <f>IF( ROUND(ROUND((SUM(D22:D24))/3,2)/0.05, 0 )*0.05 &gt; 1, 1, ROUND(ROUND((SUM(D22:D24))/3,2)/0.05, 0 )*0.05 )</f>
        <v>0.05</v>
      </c>
      <c r="E39" s="123">
        <f>IF( ROUND(ROUND((SUM(D25:D27))/3,2)/0.05, 0 )*0.05 &gt; 1, 1, ROUND(ROUND((SUM(D25:D27))/3,2)/0.05, 0 )*0.05 )</f>
        <v>0.05</v>
      </c>
      <c r="F39" s="123">
        <f>IF( ROUND(ROUND((SUM(D28:D30))/3,2)/0.05, 0 )*0.05 &gt; 1, 1, ROUND(ROUND((SUM(D28:D30))/3,2)/0.05, 0 )*0.05 )</f>
        <v>0.05</v>
      </c>
      <c r="G39" s="123">
        <f>IF( ROUND(ROUND((SUM(D31:D33))/3,2)/0.05, 0 )*0.05 &gt; 1, 1, ROUND(ROUND((SUM(D31:D33))/3,2)/0.05, 0 )*0.05 )</f>
        <v>0.05</v>
      </c>
    </row>
    <row r="42" spans="1:8" x14ac:dyDescent="0.2">
      <c r="A42" s="76" t="s">
        <v>85</v>
      </c>
      <c r="B42" s="76"/>
      <c r="C42" s="76"/>
      <c r="D42" s="77"/>
    </row>
    <row r="43" spans="1:8" ht="11.45" customHeight="1" x14ac:dyDescent="0.25">
      <c r="A43" s="145" t="s">
        <v>86</v>
      </c>
      <c r="B43" s="127"/>
      <c r="C43" s="142">
        <f>'Background calcs'!Q3</f>
        <v>0.24999999999999989</v>
      </c>
      <c r="D43" s="127"/>
    </row>
    <row r="44" spans="1:8" ht="15" customHeight="1" x14ac:dyDescent="0.25">
      <c r="A44" s="76" t="s">
        <v>87</v>
      </c>
      <c r="B44" s="74"/>
      <c r="C44" s="143" t="str">
        <f>CONCATENATE('Background calcs'!Q6,'Background calcs'!Q7,'Background calcs'!Q8)</f>
        <v>LM</v>
      </c>
      <c r="D44" s="127"/>
    </row>
    <row r="45" spans="1:8" ht="15" customHeight="1" x14ac:dyDescent="0.25">
      <c r="A45" s="76" t="s">
        <v>88</v>
      </c>
      <c r="B45" s="74"/>
      <c r="C45" s="144" t="str">
        <f>IF( 'Output for Report'!C43&gt;=0.9, "A", IF( 'Output for Report'!C43&gt;=0.8, "B", IF( 'Output for Report'!C43&gt;=0.6, "C", IF( 'Output for Report'!C43&gt;=0.3, "D", IF( 'Output for Report'!C43&gt;=0.1, "E", "Not Classifiable" ) ) ) ) )</f>
        <v>E</v>
      </c>
      <c r="D45" s="127"/>
    </row>
    <row r="46" spans="1:8" x14ac:dyDescent="0.2">
      <c r="A46" s="16"/>
      <c r="C46" s="17"/>
    </row>
    <row r="47" spans="1:8" x14ac:dyDescent="0.2">
      <c r="A47" s="16"/>
      <c r="C47" s="17"/>
    </row>
    <row r="48" spans="1:8" x14ac:dyDescent="0.2">
      <c r="A48" s="146" t="s">
        <v>89</v>
      </c>
      <c r="B48" s="141"/>
      <c r="C48" s="141"/>
      <c r="D48" s="141"/>
    </row>
    <row r="49" spans="1:8" ht="15" customHeight="1" x14ac:dyDescent="0.25">
      <c r="A49" s="76" t="s">
        <v>90</v>
      </c>
      <c r="B49" s="142">
        <f>ROUND((D20+D23+D26+D29)/(4*0.05),0)*0.05</f>
        <v>0.15000000000000002</v>
      </c>
      <c r="C49" s="127"/>
      <c r="F49" s="13" t="s">
        <v>91</v>
      </c>
      <c r="G49" s="84">
        <f>(D20+D23+D26+D29)/4</f>
        <v>0.16494378723109418</v>
      </c>
    </row>
    <row r="50" spans="1:8" ht="15" customHeight="1" x14ac:dyDescent="0.25">
      <c r="A50" s="74" t="s">
        <v>92</v>
      </c>
      <c r="B50" s="142">
        <f>AVERAGE(D23:D33)</f>
        <v>5.0622622796867557E-2</v>
      </c>
      <c r="C50" s="127"/>
    </row>
    <row r="51" spans="1:8" x14ac:dyDescent="0.2">
      <c r="A51" s="56" t="s">
        <v>93</v>
      </c>
    </row>
    <row r="55" spans="1:8" x14ac:dyDescent="0.2">
      <c r="B55" s="86"/>
      <c r="C55" s="87"/>
      <c r="D55" s="87"/>
      <c r="E55" s="87"/>
      <c r="F55" s="87"/>
      <c r="G55" s="87"/>
      <c r="H55" s="88"/>
    </row>
    <row r="56" spans="1:8" x14ac:dyDescent="0.2">
      <c r="B56" s="89"/>
      <c r="C56" s="90"/>
      <c r="D56" s="90"/>
      <c r="E56" s="90"/>
      <c r="F56" s="90"/>
      <c r="G56" s="90"/>
      <c r="H56" s="91"/>
    </row>
    <row r="57" spans="1:8" x14ac:dyDescent="0.2">
      <c r="B57" s="89"/>
      <c r="C57" s="90"/>
      <c r="D57" s="90"/>
      <c r="E57" s="90"/>
      <c r="F57" s="90"/>
      <c r="G57" s="90"/>
      <c r="H57" s="91"/>
    </row>
    <row r="58" spans="1:8" x14ac:dyDescent="0.2">
      <c r="B58" s="89"/>
      <c r="C58" s="90"/>
      <c r="D58" s="90"/>
      <c r="E58" s="90"/>
      <c r="F58" s="90"/>
      <c r="G58" s="90"/>
      <c r="H58" s="91"/>
    </row>
    <row r="59" spans="1:8" x14ac:dyDescent="0.2">
      <c r="B59" s="89"/>
      <c r="C59" s="90"/>
      <c r="D59" s="90"/>
      <c r="E59" s="90"/>
      <c r="F59" s="90"/>
      <c r="G59" s="90"/>
      <c r="H59" s="91"/>
    </row>
    <row r="60" spans="1:8" x14ac:dyDescent="0.2">
      <c r="B60" s="89"/>
      <c r="C60" s="90"/>
      <c r="D60" s="90"/>
      <c r="E60" s="90"/>
      <c r="F60" s="90"/>
      <c r="G60" s="90"/>
      <c r="H60" s="91"/>
    </row>
    <row r="61" spans="1:8" x14ac:dyDescent="0.2">
      <c r="B61" s="89"/>
      <c r="C61" s="90"/>
      <c r="D61" s="90"/>
      <c r="E61" s="90"/>
      <c r="F61" s="90"/>
      <c r="G61" s="90"/>
      <c r="H61" s="91"/>
    </row>
    <row r="62" spans="1:8" x14ac:dyDescent="0.2">
      <c r="B62" s="89"/>
      <c r="C62" s="90"/>
      <c r="D62" s="90"/>
      <c r="E62" s="90"/>
      <c r="F62" s="90"/>
      <c r="G62" s="90"/>
      <c r="H62" s="91"/>
    </row>
    <row r="63" spans="1:8" x14ac:dyDescent="0.2">
      <c r="B63" s="89"/>
      <c r="C63" s="90"/>
      <c r="D63" s="90"/>
      <c r="E63" s="90"/>
      <c r="F63" s="90"/>
      <c r="G63" s="90"/>
      <c r="H63" s="91"/>
    </row>
    <row r="64" spans="1:8" x14ac:dyDescent="0.2">
      <c r="B64" s="89"/>
      <c r="C64" s="90"/>
      <c r="D64" s="90"/>
      <c r="E64" s="90"/>
      <c r="F64" s="90"/>
      <c r="G64" s="90"/>
      <c r="H64" s="91"/>
    </row>
    <row r="65" spans="2:8" x14ac:dyDescent="0.2">
      <c r="B65" s="89"/>
      <c r="C65" s="90"/>
      <c r="D65" s="90"/>
      <c r="E65" s="90"/>
      <c r="F65" s="90"/>
      <c r="G65" s="90"/>
      <c r="H65" s="91"/>
    </row>
    <row r="66" spans="2:8" x14ac:dyDescent="0.2">
      <c r="B66" s="89"/>
      <c r="C66" s="90"/>
      <c r="D66" s="90"/>
      <c r="E66" s="90"/>
      <c r="F66" s="90"/>
      <c r="G66" s="90"/>
      <c r="H66" s="91"/>
    </row>
    <row r="67" spans="2:8" x14ac:dyDescent="0.2">
      <c r="B67" s="89"/>
      <c r="C67" s="90"/>
      <c r="D67" s="90"/>
      <c r="E67" s="90"/>
      <c r="F67" s="90"/>
      <c r="G67" s="90"/>
      <c r="H67" s="91"/>
    </row>
    <row r="68" spans="2:8" x14ac:dyDescent="0.2">
      <c r="B68" s="89"/>
      <c r="C68" s="90"/>
      <c r="D68" s="90"/>
      <c r="E68" s="90"/>
      <c r="F68" s="90"/>
      <c r="G68" s="90"/>
      <c r="H68" s="91"/>
    </row>
    <row r="69" spans="2:8" x14ac:dyDescent="0.2">
      <c r="B69" s="89"/>
      <c r="C69" s="90"/>
      <c r="D69" s="90"/>
      <c r="E69" s="90"/>
      <c r="F69" s="90"/>
      <c r="G69" s="90"/>
      <c r="H69" s="91"/>
    </row>
    <row r="70" spans="2:8" x14ac:dyDescent="0.2">
      <c r="B70" s="89"/>
      <c r="C70" s="90"/>
      <c r="D70" s="90"/>
      <c r="E70" s="90"/>
      <c r="F70" s="90"/>
      <c r="G70" s="90"/>
      <c r="H70" s="91"/>
    </row>
    <row r="71" spans="2:8" x14ac:dyDescent="0.2">
      <c r="B71" s="89"/>
      <c r="C71" s="90"/>
      <c r="D71" s="90"/>
      <c r="E71" s="90"/>
      <c r="F71" s="90"/>
      <c r="G71" s="90"/>
      <c r="H71" s="91"/>
    </row>
    <row r="72" spans="2:8" x14ac:dyDescent="0.2">
      <c r="B72" s="89"/>
      <c r="C72" s="90"/>
      <c r="D72" s="90"/>
      <c r="E72" s="90"/>
      <c r="F72" s="90"/>
      <c r="G72" s="90"/>
      <c r="H72" s="91"/>
    </row>
    <row r="73" spans="2:8" x14ac:dyDescent="0.2">
      <c r="B73" s="89"/>
      <c r="C73" s="90"/>
      <c r="D73" s="90"/>
      <c r="E73" s="90"/>
      <c r="F73" s="90"/>
      <c r="G73" s="90"/>
      <c r="H73" s="91"/>
    </row>
    <row r="74" spans="2:8" x14ac:dyDescent="0.2">
      <c r="B74" s="89"/>
      <c r="C74" s="90"/>
      <c r="D74" s="90"/>
      <c r="E74" s="90"/>
      <c r="F74" s="90"/>
      <c r="G74" s="90"/>
      <c r="H74" s="91"/>
    </row>
    <row r="75" spans="2:8" x14ac:dyDescent="0.2">
      <c r="B75" s="89"/>
      <c r="C75" s="90"/>
      <c r="D75" s="90"/>
      <c r="E75" s="90"/>
      <c r="F75" s="90"/>
      <c r="G75" s="90"/>
      <c r="H75" s="91"/>
    </row>
    <row r="76" spans="2:8" x14ac:dyDescent="0.2">
      <c r="B76" s="89"/>
      <c r="C76" s="90"/>
      <c r="D76" s="90"/>
      <c r="E76" s="90"/>
      <c r="F76" s="90"/>
      <c r="G76" s="90"/>
      <c r="H76" s="91"/>
    </row>
    <row r="77" spans="2:8" x14ac:dyDescent="0.2">
      <c r="B77" s="92"/>
      <c r="C77" s="93"/>
      <c r="D77" s="93"/>
      <c r="E77" s="93"/>
      <c r="F77" s="93"/>
      <c r="G77" s="93"/>
      <c r="H77" s="94"/>
    </row>
    <row r="79" spans="2:8" ht="15.6" customHeight="1" x14ac:dyDescent="0.25">
      <c r="F79" s="140" t="s">
        <v>94</v>
      </c>
      <c r="G79" s="141"/>
      <c r="H79" s="141"/>
    </row>
  </sheetData>
  <mergeCells count="34">
    <mergeCell ref="A4:B4"/>
    <mergeCell ref="A1:I1"/>
    <mergeCell ref="A13:D13"/>
    <mergeCell ref="A3:B3"/>
    <mergeCell ref="A5:B5"/>
    <mergeCell ref="C3:E3"/>
    <mergeCell ref="C4:E4"/>
    <mergeCell ref="C5:E5"/>
    <mergeCell ref="A7:B7"/>
    <mergeCell ref="A8:B8"/>
    <mergeCell ref="C6:E6"/>
    <mergeCell ref="C7:E7"/>
    <mergeCell ref="G8:I8"/>
    <mergeCell ref="C8:E8"/>
    <mergeCell ref="A37:G37"/>
    <mergeCell ref="A14:B14"/>
    <mergeCell ref="C14:D14"/>
    <mergeCell ref="A9:B9"/>
    <mergeCell ref="G9:H9"/>
    <mergeCell ref="G10:H10"/>
    <mergeCell ref="G11:H11"/>
    <mergeCell ref="C9:E9"/>
    <mergeCell ref="C10:E10"/>
    <mergeCell ref="A11:B11"/>
    <mergeCell ref="C11:E11"/>
    <mergeCell ref="A10:B10"/>
    <mergeCell ref="F79:H79"/>
    <mergeCell ref="B49:C49"/>
    <mergeCell ref="B50:C50"/>
    <mergeCell ref="C43:D43"/>
    <mergeCell ref="C44:D44"/>
    <mergeCell ref="C45:D45"/>
    <mergeCell ref="A43:B43"/>
    <mergeCell ref="A48:D48"/>
  </mergeCells>
  <pageMargins left="0.25" right="0.25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C23"/>
  <sheetViews>
    <sheetView topLeftCell="A4" workbookViewId="0">
      <selection activeCell="B6" sqref="B6"/>
    </sheetView>
  </sheetViews>
  <sheetFormatPr defaultRowHeight="15" x14ac:dyDescent="0.25"/>
  <cols>
    <col min="1" max="1" width="9.140625" style="6" customWidth="1"/>
  </cols>
  <sheetData>
    <row r="4" spans="1:3" x14ac:dyDescent="0.25">
      <c r="A4" s="158" t="s">
        <v>95</v>
      </c>
      <c r="B4" s="126"/>
      <c r="C4" s="127"/>
    </row>
    <row r="5" spans="1:3" ht="20.45" customHeight="1" x14ac:dyDescent="0.25">
      <c r="A5" s="18" t="s">
        <v>78</v>
      </c>
      <c r="B5" s="122" t="s">
        <v>96</v>
      </c>
      <c r="C5" s="122" t="s">
        <v>97</v>
      </c>
    </row>
    <row r="6" spans="1:3" x14ac:dyDescent="0.25">
      <c r="A6" s="13">
        <v>100</v>
      </c>
      <c r="B6" s="14">
        <f>'Initial Parameters'!I16</f>
        <v>10.405596949723048</v>
      </c>
      <c r="C6" s="14">
        <f>'Initial Parameters'!J16</f>
        <v>10.919698088918599</v>
      </c>
    </row>
    <row r="7" spans="1:3" x14ac:dyDescent="0.25">
      <c r="A7" s="13">
        <v>125</v>
      </c>
      <c r="B7" s="14">
        <f>'Initial Parameters'!I17</f>
        <v>8.6902642892892654</v>
      </c>
      <c r="C7" s="14">
        <f>'Initial Parameters'!J17</f>
        <v>12.514283372863282</v>
      </c>
    </row>
    <row r="8" spans="1:3" x14ac:dyDescent="0.25">
      <c r="A8" s="13">
        <v>160</v>
      </c>
      <c r="B8" s="14">
        <f>'Initial Parameters'!I18</f>
        <v>10.260421781979286</v>
      </c>
      <c r="C8" s="14">
        <f>'Initial Parameters'!J18</f>
        <v>10.80577155411207</v>
      </c>
    </row>
    <row r="9" spans="1:3" x14ac:dyDescent="0.25">
      <c r="A9" s="13">
        <v>200</v>
      </c>
      <c r="B9" s="14">
        <f>'Initial Parameters'!I19</f>
        <v>9.3602765438699702</v>
      </c>
      <c r="C9" s="14">
        <f>'Initial Parameters'!J19</f>
        <v>11.615296795193256</v>
      </c>
    </row>
    <row r="10" spans="1:3" x14ac:dyDescent="0.25">
      <c r="A10" s="13">
        <v>250</v>
      </c>
      <c r="B10" s="14">
        <f>'Initial Parameters'!I20</f>
        <v>9.6179946180928777</v>
      </c>
      <c r="C10" s="14">
        <f>'Initial Parameters'!J20</f>
        <v>13.594722636556991</v>
      </c>
    </row>
    <row r="11" spans="1:3" x14ac:dyDescent="0.25">
      <c r="A11" s="13">
        <v>315</v>
      </c>
      <c r="B11" s="14">
        <f>'Initial Parameters'!I21</f>
        <v>9.758860473615897</v>
      </c>
      <c r="C11" s="14">
        <f>'Initial Parameters'!J21</f>
        <v>13.275926776898135</v>
      </c>
    </row>
    <row r="12" spans="1:3" x14ac:dyDescent="0.25">
      <c r="A12" s="13">
        <v>400</v>
      </c>
      <c r="B12" s="14">
        <f>'Initial Parameters'!I22</f>
        <v>11.775074683090303</v>
      </c>
      <c r="C12" s="14">
        <f>'Initial Parameters'!J22</f>
        <v>12.952750257218094</v>
      </c>
    </row>
    <row r="13" spans="1:3" x14ac:dyDescent="0.25">
      <c r="A13" s="13">
        <v>500</v>
      </c>
      <c r="B13" s="14">
        <f>'Initial Parameters'!I23</f>
        <v>12.367237151523662</v>
      </c>
      <c r="C13" s="14">
        <f>'Initial Parameters'!J23</f>
        <v>13.694788230962361</v>
      </c>
    </row>
    <row r="14" spans="1:3" x14ac:dyDescent="0.25">
      <c r="A14" s="13">
        <v>630</v>
      </c>
      <c r="B14" s="14">
        <f>'Initial Parameters'!I24</f>
        <v>14.70606010632031</v>
      </c>
      <c r="C14" s="14">
        <f>'Initial Parameters'!J24</f>
        <v>14.473733210561965</v>
      </c>
    </row>
    <row r="15" spans="1:3" x14ac:dyDescent="0.25">
      <c r="A15" s="13">
        <v>800</v>
      </c>
      <c r="B15" s="14">
        <f>'Initial Parameters'!I25</f>
        <v>16.284883911022494</v>
      </c>
      <c r="C15" s="14">
        <f>'Initial Parameters'!J25</f>
        <v>15.918809057648167</v>
      </c>
    </row>
    <row r="16" spans="1:3" x14ac:dyDescent="0.25">
      <c r="A16" s="13">
        <v>1000</v>
      </c>
      <c r="B16" s="14">
        <f>'Initial Parameters'!I26</f>
        <v>15.717940574379652</v>
      </c>
      <c r="C16" s="14">
        <f>'Initial Parameters'!J26</f>
        <v>16.964444560358697</v>
      </c>
    </row>
    <row r="17" spans="1:3" x14ac:dyDescent="0.25">
      <c r="A17" s="13">
        <v>1250</v>
      </c>
      <c r="B17" s="14">
        <f>'Initial Parameters'!I27</f>
        <v>16.463995147401512</v>
      </c>
      <c r="C17" s="14">
        <f>'Initial Parameters'!J27</f>
        <v>17.320093241175012</v>
      </c>
    </row>
    <row r="18" spans="1:3" x14ac:dyDescent="0.25">
      <c r="A18" s="13">
        <v>1600</v>
      </c>
      <c r="B18" s="14">
        <f>'Initial Parameters'!I28</f>
        <v>17.358005436242237</v>
      </c>
      <c r="C18" s="14">
        <f>'Initial Parameters'!J28</f>
        <v>17.808161399165378</v>
      </c>
    </row>
    <row r="19" spans="1:3" x14ac:dyDescent="0.25">
      <c r="A19" s="13">
        <v>2000</v>
      </c>
      <c r="B19" s="14">
        <f>'Initial Parameters'!I29</f>
        <v>18.325616325458324</v>
      </c>
      <c r="C19" s="14">
        <f>'Initial Parameters'!J29</f>
        <v>18.856925667645619</v>
      </c>
    </row>
    <row r="20" spans="1:3" x14ac:dyDescent="0.25">
      <c r="A20" s="13">
        <v>2500</v>
      </c>
      <c r="B20" s="14">
        <f>'Initial Parameters'!I30</f>
        <v>19.192575064034433</v>
      </c>
      <c r="C20" s="14">
        <f>'Initial Parameters'!J30</f>
        <v>19.458299444201195</v>
      </c>
    </row>
    <row r="21" spans="1:3" x14ac:dyDescent="0.25">
      <c r="A21" s="13">
        <v>3150</v>
      </c>
      <c r="B21" s="14">
        <f>'Initial Parameters'!I31</f>
        <v>19.80036194901545</v>
      </c>
      <c r="C21" s="14">
        <f>'Initial Parameters'!J31</f>
        <v>20.619124241635195</v>
      </c>
    </row>
    <row r="22" spans="1:3" x14ac:dyDescent="0.25">
      <c r="A22" s="50">
        <v>4000</v>
      </c>
      <c r="B22" s="14">
        <f>'Initial Parameters'!I32</f>
        <v>21.243736636308551</v>
      </c>
      <c r="C22" s="14">
        <f>'Initial Parameters'!J32</f>
        <v>21.98182800514374</v>
      </c>
    </row>
    <row r="23" spans="1:3" x14ac:dyDescent="0.25">
      <c r="A23" s="13">
        <v>5000</v>
      </c>
      <c r="B23" s="14">
        <f>'Initial Parameters'!I33</f>
        <v>22.8542390741056</v>
      </c>
      <c r="C23" s="14">
        <f>'Initial Parameters'!J33</f>
        <v>23.195715566317311</v>
      </c>
    </row>
  </sheetData>
  <mergeCells count="1">
    <mergeCell ref="A4:C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41"/>
  <sheetViews>
    <sheetView topLeftCell="G1" workbookViewId="0">
      <selection activeCell="R17" sqref="R17"/>
    </sheetView>
  </sheetViews>
  <sheetFormatPr defaultRowHeight="15" x14ac:dyDescent="0.25"/>
  <cols>
    <col min="16" max="16" width="13" style="6" customWidth="1"/>
  </cols>
  <sheetData>
    <row r="1" spans="1:22" x14ac:dyDescent="0.25">
      <c r="A1" s="4" t="s">
        <v>98</v>
      </c>
      <c r="B1" s="4"/>
    </row>
    <row r="2" spans="1:22" x14ac:dyDescent="0.25">
      <c r="A2" t="s">
        <v>99</v>
      </c>
    </row>
    <row r="3" spans="1:22" x14ac:dyDescent="0.25">
      <c r="P3" t="s">
        <v>100</v>
      </c>
      <c r="Q3" s="2">
        <f>1-SUM(N5:N19)</f>
        <v>0.24999999999999989</v>
      </c>
    </row>
    <row r="4" spans="1:22" x14ac:dyDescent="0.25">
      <c r="B4">
        <v>250</v>
      </c>
      <c r="C4">
        <v>500</v>
      </c>
      <c r="D4">
        <v>1000</v>
      </c>
      <c r="E4">
        <v>2000</v>
      </c>
      <c r="F4">
        <v>4000</v>
      </c>
      <c r="I4">
        <v>250</v>
      </c>
      <c r="J4">
        <v>500</v>
      </c>
      <c r="K4">
        <v>1000</v>
      </c>
      <c r="L4">
        <v>2000</v>
      </c>
      <c r="M4">
        <v>4000</v>
      </c>
    </row>
    <row r="5" spans="1:22" x14ac:dyDescent="0.25">
      <c r="A5">
        <v>1</v>
      </c>
      <c r="B5">
        <v>0.8</v>
      </c>
      <c r="C5">
        <v>1</v>
      </c>
      <c r="D5">
        <v>1</v>
      </c>
      <c r="E5">
        <v>1</v>
      </c>
      <c r="F5">
        <v>0.9</v>
      </c>
      <c r="G5" s="2">
        <f>B5-'Output for Report'!$C$39+C5-'Output for Report'!$D$39+D5-'Output for Report'!$E$39+E5-'Output for Report'!$F$39+F5-'Output for Report'!$G$39</f>
        <v>4.2000000000000011</v>
      </c>
      <c r="H5" s="2"/>
      <c r="I5" s="2">
        <f>IF(B5-'Output for Report'!C$39&gt;0,B5-'Output for Report'!C$39,0)</f>
        <v>0.5</v>
      </c>
      <c r="J5" s="2">
        <f>IF(C5-'Output for Report'!D$39&gt;0,C5-'Output for Report'!D$39,0)</f>
        <v>0.95</v>
      </c>
      <c r="K5" s="2">
        <f>IF(D5-'Output for Report'!E$39&gt;0,D5-'Output for Report'!E$39,0)</f>
        <v>0.95</v>
      </c>
      <c r="L5" s="2">
        <f>IF(E5-'Output for Report'!F$39&gt;0,E5-'Output for Report'!F$39,0)</f>
        <v>0.95</v>
      </c>
      <c r="M5" s="2">
        <f>IF(F5-'Output for Report'!G$39&gt;0,F5-'Output for Report'!G$39,0)</f>
        <v>0.85</v>
      </c>
      <c r="N5" s="2">
        <f t="shared" ref="N5:N19" si="0">IF(SUM(I5:M5)&gt;0.1,0.05,0)</f>
        <v>0.05</v>
      </c>
      <c r="P5" t="s">
        <v>101</v>
      </c>
    </row>
    <row r="6" spans="1:22" x14ac:dyDescent="0.25">
      <c r="A6">
        <f>1-0.05</f>
        <v>0.95</v>
      </c>
      <c r="B6">
        <f t="shared" ref="B6:B19" si="1">B5-0.05</f>
        <v>0.75</v>
      </c>
      <c r="C6">
        <f t="shared" ref="C6:C19" si="2">C5-0.05</f>
        <v>0.95</v>
      </c>
      <c r="D6">
        <f t="shared" ref="D6:D19" si="3">D5-0.05</f>
        <v>0.95</v>
      </c>
      <c r="E6">
        <f t="shared" ref="E6:E19" si="4">E5-0.05</f>
        <v>0.95</v>
      </c>
      <c r="F6">
        <f t="shared" ref="F6:F19" si="5">F5-0.05</f>
        <v>0.85</v>
      </c>
      <c r="G6" s="2">
        <f>B6-'Output for Report'!$C$39+C6-'Output for Report'!$D$39+D6-'Output for Report'!$E$39+E6-'Output for Report'!$F$39+F6-'Output for Report'!$G$39</f>
        <v>3.95</v>
      </c>
      <c r="H6" s="2"/>
      <c r="I6" s="2">
        <f>IF(B6-'Output for Report'!C$39&gt;0,B6-'Output for Report'!C$39,0)</f>
        <v>0.44999999999999996</v>
      </c>
      <c r="J6" s="2">
        <f>IF(C6-'Output for Report'!D$39&gt;0,C6-'Output for Report'!D$39,0)</f>
        <v>0.89999999999999991</v>
      </c>
      <c r="K6" s="2">
        <f>IF(D6-'Output for Report'!E$39&gt;0,D6-'Output for Report'!E$39,0)</f>
        <v>0.89999999999999991</v>
      </c>
      <c r="L6" s="2">
        <f>IF(E6-'Output for Report'!F$39&gt;0,E6-'Output for Report'!F$39,0)</f>
        <v>0.89999999999999991</v>
      </c>
      <c r="M6" s="2">
        <f>IF(F6-'Output for Report'!G$39&gt;0,F6-'Output for Report'!G$39,0)</f>
        <v>0.79999999999999993</v>
      </c>
      <c r="N6" s="2">
        <f t="shared" si="0"/>
        <v>0.05</v>
      </c>
      <c r="P6" t="s">
        <v>102</v>
      </c>
      <c r="Q6" t="str">
        <f>IF(Q3-0.2&lt;'Output for Report'!C39-0.25,"L","")</f>
        <v>L</v>
      </c>
    </row>
    <row r="7" spans="1:22" x14ac:dyDescent="0.25">
      <c r="A7">
        <f t="shared" ref="A7:A19" si="6">A6-0.05</f>
        <v>0.89999999999999991</v>
      </c>
      <c r="B7">
        <f t="shared" si="1"/>
        <v>0.7</v>
      </c>
      <c r="C7">
        <f t="shared" si="2"/>
        <v>0.89999999999999991</v>
      </c>
      <c r="D7">
        <f t="shared" si="3"/>
        <v>0.89999999999999991</v>
      </c>
      <c r="E7">
        <f t="shared" si="4"/>
        <v>0.89999999999999991</v>
      </c>
      <c r="F7">
        <f t="shared" si="5"/>
        <v>0.79999999999999993</v>
      </c>
      <c r="G7" s="2">
        <f>B7-'Output for Report'!$C$39+C7-'Output for Report'!$D$39+D7-'Output for Report'!$E$39+E7-'Output for Report'!$F$39+F7-'Output for Report'!$G$39</f>
        <v>3.6999999999999997</v>
      </c>
      <c r="H7" s="2"/>
      <c r="I7" s="2">
        <f>IF(B7-'Output for Report'!C$39&gt;0,B7-'Output for Report'!C$39,0)</f>
        <v>0.39999999999999991</v>
      </c>
      <c r="J7" s="2">
        <f>IF(C7-'Output for Report'!D$39&gt;0,C7-'Output for Report'!D$39,0)</f>
        <v>0.84999999999999987</v>
      </c>
      <c r="K7" s="2">
        <f>IF(D7-'Output for Report'!E$39&gt;0,D7-'Output for Report'!E$39,0)</f>
        <v>0.84999999999999987</v>
      </c>
      <c r="L7" s="2">
        <f>IF(E7-'Output for Report'!F$39&gt;0,E7-'Output for Report'!F$39,0)</f>
        <v>0.84999999999999987</v>
      </c>
      <c r="M7" s="2">
        <f>IF(F7-'Output for Report'!G$39&gt;0,F7-'Output for Report'!G$39,0)</f>
        <v>0.74999999999999989</v>
      </c>
      <c r="N7" s="2">
        <f t="shared" si="0"/>
        <v>0.05</v>
      </c>
      <c r="P7" t="s">
        <v>103</v>
      </c>
      <c r="Q7" t="str">
        <f>IF( OR(Q2 &lt; 'Output for Report'!D38-0.25, Q2 &lt;'Output for Report'!E38-0.25),"M","")</f>
        <v>M</v>
      </c>
    </row>
    <row r="8" spans="1:22" x14ac:dyDescent="0.25">
      <c r="A8">
        <f t="shared" si="6"/>
        <v>0.84999999999999987</v>
      </c>
      <c r="B8">
        <f t="shared" si="1"/>
        <v>0.64999999999999991</v>
      </c>
      <c r="C8">
        <f t="shared" si="2"/>
        <v>0.84999999999999987</v>
      </c>
      <c r="D8">
        <f t="shared" si="3"/>
        <v>0.84999999999999987</v>
      </c>
      <c r="E8">
        <f t="shared" si="4"/>
        <v>0.84999999999999987</v>
      </c>
      <c r="F8">
        <f t="shared" si="5"/>
        <v>0.74999999999999989</v>
      </c>
      <c r="G8" s="2">
        <f>B8-'Output for Report'!$C$39+C8-'Output for Report'!$D$39+D8-'Output for Report'!$E$39+E8-'Output for Report'!$F$39+F8-'Output for Report'!$G$39</f>
        <v>3.4499999999999997</v>
      </c>
      <c r="H8" s="2"/>
      <c r="I8" s="2">
        <f>IF(B8-'Output for Report'!C$39&gt;0,B8-'Output for Report'!C$39,0)</f>
        <v>0.34999999999999987</v>
      </c>
      <c r="J8" s="2">
        <f>IF(C8-'Output for Report'!D$39&gt;0,C8-'Output for Report'!D$39,0)</f>
        <v>0.79999999999999982</v>
      </c>
      <c r="K8" s="2">
        <f>IF(D8-'Output for Report'!E$39&gt;0,D8-'Output for Report'!E$39,0)</f>
        <v>0.79999999999999982</v>
      </c>
      <c r="L8" s="2">
        <f>IF(E8-'Output for Report'!F$39&gt;0,E8-'Output for Report'!F$39,0)</f>
        <v>0.79999999999999982</v>
      </c>
      <c r="M8" s="2">
        <f>IF(F8-'Output for Report'!G$39&gt;0,F8-'Output for Report'!G$39,0)</f>
        <v>0.69999999999999984</v>
      </c>
      <c r="N8" s="2">
        <f t="shared" si="0"/>
        <v>0.05</v>
      </c>
      <c r="P8" t="s">
        <v>104</v>
      </c>
      <c r="Q8" t="str">
        <f>IF( OR(Q3 &lt; 'Output for Report'!F39-0.25, Q3 &lt;'Output for Report'!G39-0.35),"H","")</f>
        <v/>
      </c>
    </row>
    <row r="9" spans="1:22" x14ac:dyDescent="0.25">
      <c r="A9">
        <f t="shared" si="6"/>
        <v>0.79999999999999982</v>
      </c>
      <c r="B9">
        <f t="shared" si="1"/>
        <v>0.59999999999999987</v>
      </c>
      <c r="C9">
        <f t="shared" si="2"/>
        <v>0.79999999999999982</v>
      </c>
      <c r="D9">
        <f t="shared" si="3"/>
        <v>0.79999999999999982</v>
      </c>
      <c r="E9">
        <f t="shared" si="4"/>
        <v>0.79999999999999982</v>
      </c>
      <c r="F9">
        <f t="shared" si="5"/>
        <v>0.69999999999999984</v>
      </c>
      <c r="G9" s="2">
        <f>B9-'Output for Report'!$C$39+C9-'Output for Report'!$D$39+D9-'Output for Report'!$E$39+E9-'Output for Report'!$F$39+F9-'Output for Report'!$G$39</f>
        <v>3.1999999999999993</v>
      </c>
      <c r="H9" s="2"/>
      <c r="I9" s="2">
        <f>IF(B9-'Output for Report'!C$39&gt;0,B9-'Output for Report'!C$39,0)</f>
        <v>0.29999999999999982</v>
      </c>
      <c r="J9" s="2">
        <f>IF(C9-'Output for Report'!D$39&gt;0,C9-'Output for Report'!D$39,0)</f>
        <v>0.74999999999999978</v>
      </c>
      <c r="K9" s="2">
        <f>IF(D9-'Output for Report'!E$39&gt;0,D9-'Output for Report'!E$39,0)</f>
        <v>0.74999999999999978</v>
      </c>
      <c r="L9" s="2">
        <f>IF(E9-'Output for Report'!F$39&gt;0,E9-'Output for Report'!F$39,0)</f>
        <v>0.74999999999999978</v>
      </c>
      <c r="M9" s="2">
        <f>IF(F9-'Output for Report'!G$39&gt;0,F9-'Output for Report'!G$39,0)</f>
        <v>0.6499999999999998</v>
      </c>
      <c r="N9" s="2">
        <f t="shared" si="0"/>
        <v>0.05</v>
      </c>
    </row>
    <row r="10" spans="1:22" x14ac:dyDescent="0.25">
      <c r="A10">
        <f t="shared" si="6"/>
        <v>0.74999999999999978</v>
      </c>
      <c r="B10">
        <f t="shared" si="1"/>
        <v>0.54999999999999982</v>
      </c>
      <c r="C10">
        <f t="shared" si="2"/>
        <v>0.74999999999999978</v>
      </c>
      <c r="D10">
        <f t="shared" si="3"/>
        <v>0.74999999999999978</v>
      </c>
      <c r="E10">
        <f t="shared" si="4"/>
        <v>0.74999999999999978</v>
      </c>
      <c r="F10">
        <f t="shared" si="5"/>
        <v>0.6499999999999998</v>
      </c>
      <c r="G10" s="2">
        <f>B10-'Output for Report'!$C$39+C10-'Output for Report'!$D$39+D10-'Output for Report'!$E$39+E10-'Output for Report'!$F$39+F10-'Output for Report'!$G$39</f>
        <v>2.9499999999999993</v>
      </c>
      <c r="H10" s="2"/>
      <c r="I10" s="2">
        <f>IF(B10-'Output for Report'!C$39&gt;0,B10-'Output for Report'!C$39,0)</f>
        <v>0.24999999999999978</v>
      </c>
      <c r="J10" s="2">
        <f>IF(C10-'Output for Report'!D$39&gt;0,C10-'Output for Report'!D$39,0)</f>
        <v>0.69999999999999973</v>
      </c>
      <c r="K10" s="2">
        <f>IF(D10-'Output for Report'!E$39&gt;0,D10-'Output for Report'!E$39,0)</f>
        <v>0.69999999999999973</v>
      </c>
      <c r="L10" s="2">
        <f>IF(E10-'Output for Report'!F$39&gt;0,E10-'Output for Report'!F$39,0)</f>
        <v>0.69999999999999973</v>
      </c>
      <c r="M10" s="2">
        <f>IF(F10-'Output for Report'!G$39&gt;0,F10-'Output for Report'!G$39,0)</f>
        <v>0.59999999999999976</v>
      </c>
      <c r="N10" s="2">
        <f t="shared" si="0"/>
        <v>0.05</v>
      </c>
    </row>
    <row r="11" spans="1:22" x14ac:dyDescent="0.25">
      <c r="A11">
        <f t="shared" si="6"/>
        <v>0.69999999999999973</v>
      </c>
      <c r="B11">
        <f t="shared" si="1"/>
        <v>0.49999999999999983</v>
      </c>
      <c r="C11">
        <f t="shared" si="2"/>
        <v>0.69999999999999973</v>
      </c>
      <c r="D11">
        <f t="shared" si="3"/>
        <v>0.69999999999999973</v>
      </c>
      <c r="E11">
        <f t="shared" si="4"/>
        <v>0.69999999999999973</v>
      </c>
      <c r="F11">
        <f t="shared" si="5"/>
        <v>0.59999999999999976</v>
      </c>
      <c r="G11" s="2">
        <f>B11-'Output for Report'!$C$39+C11-'Output for Report'!$D$39+D11-'Output for Report'!$E$39+E11-'Output for Report'!$F$39+F11-'Output for Report'!$G$39</f>
        <v>2.6999999999999988</v>
      </c>
      <c r="H11" s="2"/>
      <c r="I11" s="2">
        <f>IF(B11-'Output for Report'!C$39&gt;0,B11-'Output for Report'!C$39,0)</f>
        <v>0.19999999999999979</v>
      </c>
      <c r="J11" s="2">
        <f>IF(C11-'Output for Report'!D$39&gt;0,C11-'Output for Report'!D$39,0)</f>
        <v>0.64999999999999969</v>
      </c>
      <c r="K11" s="2">
        <f>IF(D11-'Output for Report'!E$39&gt;0,D11-'Output for Report'!E$39,0)</f>
        <v>0.64999999999999969</v>
      </c>
      <c r="L11" s="2">
        <f>IF(E11-'Output for Report'!F$39&gt;0,E11-'Output for Report'!F$39,0)</f>
        <v>0.64999999999999969</v>
      </c>
      <c r="M11" s="2">
        <f>IF(F11-'Output for Report'!G$39&gt;0,F11-'Output for Report'!G$39,0)</f>
        <v>0.54999999999999971</v>
      </c>
      <c r="N11" s="2">
        <f t="shared" si="0"/>
        <v>0.05</v>
      </c>
    </row>
    <row r="12" spans="1:22" x14ac:dyDescent="0.25">
      <c r="A12">
        <f t="shared" si="6"/>
        <v>0.64999999999999969</v>
      </c>
      <c r="B12">
        <f t="shared" si="1"/>
        <v>0.44999999999999984</v>
      </c>
      <c r="C12">
        <f t="shared" si="2"/>
        <v>0.64999999999999969</v>
      </c>
      <c r="D12">
        <f t="shared" si="3"/>
        <v>0.64999999999999969</v>
      </c>
      <c r="E12">
        <f t="shared" si="4"/>
        <v>0.64999999999999969</v>
      </c>
      <c r="F12">
        <f t="shared" si="5"/>
        <v>0.54999999999999971</v>
      </c>
      <c r="G12" s="2">
        <f>B12-'Output for Report'!$C$39+C12-'Output for Report'!$D$39+D12-'Output for Report'!$E$39+E12-'Output for Report'!$F$39+F12-'Output for Report'!$G$39</f>
        <v>2.4499999999999984</v>
      </c>
      <c r="H12" s="2"/>
      <c r="I12" s="2">
        <f>IF(B12-'Output for Report'!C$39&gt;0,B12-'Output for Report'!C$39,0)</f>
        <v>0.1499999999999998</v>
      </c>
      <c r="J12" s="2">
        <f>IF(C12-'Output for Report'!D$39&gt;0,C12-'Output for Report'!D$39,0)</f>
        <v>0.59999999999999964</v>
      </c>
      <c r="K12" s="2">
        <f>IF(D12-'Output for Report'!E$39&gt;0,D12-'Output for Report'!E$39,0)</f>
        <v>0.59999999999999964</v>
      </c>
      <c r="L12" s="2">
        <f>IF(E12-'Output for Report'!F$39&gt;0,E12-'Output for Report'!F$39,0)</f>
        <v>0.59999999999999964</v>
      </c>
      <c r="M12" s="2">
        <f>IF(F12-'Output for Report'!G$39&gt;0,F12-'Output for Report'!G$39,0)</f>
        <v>0.49999999999999972</v>
      </c>
      <c r="N12" s="2">
        <f t="shared" si="0"/>
        <v>0.05</v>
      </c>
    </row>
    <row r="13" spans="1:22" x14ac:dyDescent="0.25">
      <c r="A13">
        <f t="shared" si="6"/>
        <v>0.59999999999999964</v>
      </c>
      <c r="B13">
        <f t="shared" si="1"/>
        <v>0.39999999999999986</v>
      </c>
      <c r="C13">
        <f t="shared" si="2"/>
        <v>0.59999999999999964</v>
      </c>
      <c r="D13">
        <f t="shared" si="3"/>
        <v>0.59999999999999964</v>
      </c>
      <c r="E13">
        <f t="shared" si="4"/>
        <v>0.59999999999999964</v>
      </c>
      <c r="F13">
        <f t="shared" si="5"/>
        <v>0.49999999999999972</v>
      </c>
      <c r="G13" s="2">
        <f>B13-'Output for Report'!$C$39+C13-'Output for Report'!$D$39+D13-'Output for Report'!$E$39+E13-'Output for Report'!$F$39+F13-'Output for Report'!$G$39</f>
        <v>2.1999999999999984</v>
      </c>
      <c r="H13" s="2"/>
      <c r="I13" s="2">
        <f>IF(B13-'Output for Report'!C$39&gt;0,B13-'Output for Report'!C$39,0)</f>
        <v>9.9999999999999811E-2</v>
      </c>
      <c r="J13" s="2">
        <f>IF(C13-'Output for Report'!D$39&gt;0,C13-'Output for Report'!D$39,0)</f>
        <v>0.5499999999999996</v>
      </c>
      <c r="K13" s="2">
        <f>IF(D13-'Output for Report'!E$39&gt;0,D13-'Output for Report'!E$39,0)</f>
        <v>0.5499999999999996</v>
      </c>
      <c r="L13" s="2">
        <f>IF(E13-'Output for Report'!F$39&gt;0,E13-'Output for Report'!F$39,0)</f>
        <v>0.5499999999999996</v>
      </c>
      <c r="M13" s="2">
        <f>IF(F13-'Output for Report'!G$39&gt;0,F13-'Output for Report'!G$39,0)</f>
        <v>0.44999999999999973</v>
      </c>
      <c r="N13" s="2">
        <f t="shared" si="0"/>
        <v>0.05</v>
      </c>
      <c r="R13">
        <v>250</v>
      </c>
      <c r="S13">
        <v>500</v>
      </c>
      <c r="T13">
        <v>1000</v>
      </c>
      <c r="U13">
        <v>2000</v>
      </c>
      <c r="V13">
        <v>4000</v>
      </c>
    </row>
    <row r="14" spans="1:22" x14ac:dyDescent="0.25">
      <c r="A14">
        <f t="shared" si="6"/>
        <v>0.5499999999999996</v>
      </c>
      <c r="B14">
        <f t="shared" si="1"/>
        <v>0.34999999999999987</v>
      </c>
      <c r="C14">
        <f t="shared" si="2"/>
        <v>0.5499999999999996</v>
      </c>
      <c r="D14">
        <f t="shared" si="3"/>
        <v>0.5499999999999996</v>
      </c>
      <c r="E14">
        <f t="shared" si="4"/>
        <v>0.5499999999999996</v>
      </c>
      <c r="F14">
        <f t="shared" si="5"/>
        <v>0.44999999999999973</v>
      </c>
      <c r="G14" s="2">
        <f>B14-'Output for Report'!$C$39+C14-'Output for Report'!$D$39+D14-'Output for Report'!$E$39+E14-'Output for Report'!$F$39+F14-'Output for Report'!$G$39</f>
        <v>1.9499999999999982</v>
      </c>
      <c r="H14" s="2"/>
      <c r="I14" s="2">
        <f>IF(B14-'Output for Report'!C$39&gt;0,B14-'Output for Report'!C$39,0)</f>
        <v>4.9999999999999822E-2</v>
      </c>
      <c r="J14" s="2">
        <f>IF(C14-'Output for Report'!D$39&gt;0,C14-'Output for Report'!D$39,0)</f>
        <v>0.49999999999999961</v>
      </c>
      <c r="K14" s="2">
        <f>IF(D14-'Output for Report'!E$39&gt;0,D14-'Output for Report'!E$39,0)</f>
        <v>0.49999999999999961</v>
      </c>
      <c r="L14" s="2">
        <f>IF(E14-'Output for Report'!F$39&gt;0,E14-'Output for Report'!F$39,0)</f>
        <v>0.49999999999999961</v>
      </c>
      <c r="M14" s="2">
        <f>IF(F14-'Output for Report'!G$39&gt;0,F14-'Output for Report'!G$39,0)</f>
        <v>0.39999999999999974</v>
      </c>
      <c r="N14" s="2">
        <f t="shared" si="0"/>
        <v>0.05</v>
      </c>
      <c r="Q14">
        <v>1</v>
      </c>
      <c r="R14">
        <f t="shared" ref="R14:R28" si="7">IF($Q$3=$A5,B5,0)</f>
        <v>0</v>
      </c>
      <c r="S14">
        <f t="shared" ref="S14:S28" si="8">IF($Q$3=$A5,C5,0)</f>
        <v>0</v>
      </c>
      <c r="T14">
        <f t="shared" ref="T14:T28" si="9">IF($Q$3=$A5,D5,0)</f>
        <v>0</v>
      </c>
      <c r="U14">
        <f t="shared" ref="U14:U28" si="10">IF($Q$3=$A5,E5,0)</f>
        <v>0</v>
      </c>
      <c r="V14">
        <f t="shared" ref="V14:V28" si="11">IF($Q$3=$A5,F5,0)</f>
        <v>0</v>
      </c>
    </row>
    <row r="15" spans="1:22" x14ac:dyDescent="0.25">
      <c r="A15">
        <f t="shared" si="6"/>
        <v>0.49999999999999961</v>
      </c>
      <c r="B15">
        <f t="shared" si="1"/>
        <v>0.29999999999999988</v>
      </c>
      <c r="C15">
        <f t="shared" si="2"/>
        <v>0.49999999999999961</v>
      </c>
      <c r="D15">
        <f t="shared" si="3"/>
        <v>0.49999999999999961</v>
      </c>
      <c r="E15">
        <f t="shared" si="4"/>
        <v>0.49999999999999961</v>
      </c>
      <c r="F15">
        <f t="shared" si="5"/>
        <v>0.39999999999999974</v>
      </c>
      <c r="G15" s="2">
        <f>B15-'Output for Report'!$C$39+C15-'Output for Report'!$D$39+D15-'Output for Report'!$E$39+E15-'Output for Report'!$F$39+F15-'Output for Report'!$G$39</f>
        <v>1.6999999999999982</v>
      </c>
      <c r="H15" s="2"/>
      <c r="I15" s="2">
        <f>IF(B15-'Output for Report'!C$39&gt;0,B15-'Output for Report'!C$39,0)</f>
        <v>0</v>
      </c>
      <c r="J15" s="2">
        <f>IF(C15-'Output for Report'!D$39&gt;0,C15-'Output for Report'!D$39,0)</f>
        <v>0.44999999999999962</v>
      </c>
      <c r="K15" s="2">
        <f>IF(D15-'Output for Report'!E$39&gt;0,D15-'Output for Report'!E$39,0)</f>
        <v>0.44999999999999962</v>
      </c>
      <c r="L15" s="2">
        <f>IF(E15-'Output for Report'!F$39&gt;0,E15-'Output for Report'!F$39,0)</f>
        <v>0.44999999999999962</v>
      </c>
      <c r="M15" s="2">
        <f>IF(F15-'Output for Report'!G$39&gt;0,F15-'Output for Report'!G$39,0)</f>
        <v>0.34999999999999976</v>
      </c>
      <c r="N15" s="2">
        <f t="shared" si="0"/>
        <v>0.05</v>
      </c>
      <c r="Q15">
        <f>1-0.05</f>
        <v>0.95</v>
      </c>
      <c r="R15">
        <f t="shared" si="7"/>
        <v>0</v>
      </c>
      <c r="S15">
        <f t="shared" si="8"/>
        <v>0</v>
      </c>
      <c r="T15">
        <f t="shared" si="9"/>
        <v>0</v>
      </c>
      <c r="U15">
        <f t="shared" si="10"/>
        <v>0</v>
      </c>
      <c r="V15">
        <f t="shared" si="11"/>
        <v>0</v>
      </c>
    </row>
    <row r="16" spans="1:22" x14ac:dyDescent="0.25">
      <c r="A16">
        <f t="shared" si="6"/>
        <v>0.44999999999999962</v>
      </c>
      <c r="B16">
        <f t="shared" si="1"/>
        <v>0.24999999999999989</v>
      </c>
      <c r="C16">
        <f t="shared" si="2"/>
        <v>0.44999999999999962</v>
      </c>
      <c r="D16">
        <f t="shared" si="3"/>
        <v>0.44999999999999962</v>
      </c>
      <c r="E16">
        <f t="shared" si="4"/>
        <v>0.44999999999999962</v>
      </c>
      <c r="F16">
        <f t="shared" si="5"/>
        <v>0.34999999999999976</v>
      </c>
      <c r="G16" s="2">
        <f>B16-'Output for Report'!$C$39+C16-'Output for Report'!$D$39+D16-'Output for Report'!$E$39+E16-'Output for Report'!$F$39+F16-'Output for Report'!$G$39</f>
        <v>1.4499999999999986</v>
      </c>
      <c r="H16" s="2"/>
      <c r="I16" s="2">
        <f>IF(B16-'Output for Report'!C$39&gt;0,B16-'Output for Report'!C$39,0)</f>
        <v>0</v>
      </c>
      <c r="J16" s="2">
        <f>IF(C16-'Output for Report'!D$39&gt;0,C16-'Output for Report'!D$39,0)</f>
        <v>0.39999999999999963</v>
      </c>
      <c r="K16" s="2">
        <f>IF(D16-'Output for Report'!E$39&gt;0,D16-'Output for Report'!E$39,0)</f>
        <v>0.39999999999999963</v>
      </c>
      <c r="L16" s="2">
        <f>IF(E16-'Output for Report'!F$39&gt;0,E16-'Output for Report'!F$39,0)</f>
        <v>0.39999999999999963</v>
      </c>
      <c r="M16" s="2">
        <f>IF(F16-'Output for Report'!G$39&gt;0,F16-'Output for Report'!G$39,0)</f>
        <v>0.29999999999999977</v>
      </c>
      <c r="N16" s="2">
        <f t="shared" si="0"/>
        <v>0.05</v>
      </c>
      <c r="Q16">
        <f t="shared" ref="Q16:Q28" si="12">Q15-0.05</f>
        <v>0.89999999999999991</v>
      </c>
      <c r="R16">
        <f t="shared" si="7"/>
        <v>0</v>
      </c>
      <c r="S16">
        <f t="shared" si="8"/>
        <v>0</v>
      </c>
      <c r="T16">
        <f t="shared" si="9"/>
        <v>0</v>
      </c>
      <c r="U16">
        <f t="shared" si="10"/>
        <v>0</v>
      </c>
      <c r="V16">
        <f t="shared" si="11"/>
        <v>0</v>
      </c>
    </row>
    <row r="17" spans="1:22" x14ac:dyDescent="0.25">
      <c r="A17">
        <f t="shared" si="6"/>
        <v>0.39999999999999963</v>
      </c>
      <c r="B17">
        <f t="shared" si="1"/>
        <v>0.1999999999999999</v>
      </c>
      <c r="C17">
        <f t="shared" si="2"/>
        <v>0.39999999999999963</v>
      </c>
      <c r="D17">
        <f t="shared" si="3"/>
        <v>0.39999999999999963</v>
      </c>
      <c r="E17">
        <f t="shared" si="4"/>
        <v>0.39999999999999963</v>
      </c>
      <c r="F17">
        <f t="shared" si="5"/>
        <v>0.29999999999999977</v>
      </c>
      <c r="G17" s="2">
        <f>B17-'Output for Report'!$C$39+C17-'Output for Report'!$D$39+D17-'Output for Report'!$E$39+E17-'Output for Report'!$F$39+F17-'Output for Report'!$G$39</f>
        <v>1.1999999999999984</v>
      </c>
      <c r="H17" s="2"/>
      <c r="I17" s="2">
        <f>IF(B17-'Output for Report'!C$39&gt;0,B17-'Output for Report'!C$39,0)</f>
        <v>0</v>
      </c>
      <c r="J17" s="2">
        <f>IF(C17-'Output for Report'!D$39&gt;0,C17-'Output for Report'!D$39,0)</f>
        <v>0.34999999999999964</v>
      </c>
      <c r="K17" s="2">
        <f>IF(D17-'Output for Report'!E$39&gt;0,D17-'Output for Report'!E$39,0)</f>
        <v>0.34999999999999964</v>
      </c>
      <c r="L17" s="2">
        <f>IF(E17-'Output for Report'!F$39&gt;0,E17-'Output for Report'!F$39,0)</f>
        <v>0.34999999999999964</v>
      </c>
      <c r="M17" s="2">
        <f>IF(F17-'Output for Report'!G$39&gt;0,F17-'Output for Report'!G$39,0)</f>
        <v>0.24999999999999978</v>
      </c>
      <c r="N17" s="2">
        <f t="shared" si="0"/>
        <v>0.05</v>
      </c>
      <c r="Q17">
        <f t="shared" si="12"/>
        <v>0.84999999999999987</v>
      </c>
      <c r="R17">
        <f t="shared" si="7"/>
        <v>0</v>
      </c>
      <c r="S17">
        <f t="shared" si="8"/>
        <v>0</v>
      </c>
      <c r="T17">
        <f t="shared" si="9"/>
        <v>0</v>
      </c>
      <c r="U17">
        <f t="shared" si="10"/>
        <v>0</v>
      </c>
      <c r="V17">
        <f t="shared" si="11"/>
        <v>0</v>
      </c>
    </row>
    <row r="18" spans="1:22" x14ac:dyDescent="0.25">
      <c r="A18">
        <f t="shared" si="6"/>
        <v>0.34999999999999964</v>
      </c>
      <c r="B18">
        <f t="shared" si="1"/>
        <v>0.14999999999999991</v>
      </c>
      <c r="C18">
        <f t="shared" si="2"/>
        <v>0.34999999999999964</v>
      </c>
      <c r="D18">
        <f t="shared" si="3"/>
        <v>0.34999999999999964</v>
      </c>
      <c r="E18">
        <f t="shared" si="4"/>
        <v>0.34999999999999964</v>
      </c>
      <c r="F18">
        <f t="shared" si="5"/>
        <v>0.24999999999999978</v>
      </c>
      <c r="G18" s="2">
        <f>B18-'Output for Report'!$C$39+C18-'Output for Report'!$D$39+D18-'Output for Report'!$E$39+E18-'Output for Report'!$F$39+F18-'Output for Report'!$G$39</f>
        <v>0.94999999999999851</v>
      </c>
      <c r="H18" s="2"/>
      <c r="I18" s="2">
        <f>IF(B18-'Output for Report'!C$39&gt;0,B18-'Output for Report'!C$39,0)</f>
        <v>0</v>
      </c>
      <c r="J18" s="2">
        <f>IF(C18-'Output for Report'!D$39&gt;0,C18-'Output for Report'!D$39,0)</f>
        <v>0.29999999999999966</v>
      </c>
      <c r="K18" s="2">
        <f>IF(D18-'Output for Report'!E$39&gt;0,D18-'Output for Report'!E$39,0)</f>
        <v>0.29999999999999966</v>
      </c>
      <c r="L18" s="2">
        <f>IF(E18-'Output for Report'!F$39&gt;0,E18-'Output for Report'!F$39,0)</f>
        <v>0.29999999999999966</v>
      </c>
      <c r="M18" s="2">
        <f>IF(F18-'Output for Report'!G$39&gt;0,F18-'Output for Report'!G$39,0)</f>
        <v>0.19999999999999979</v>
      </c>
      <c r="N18" s="2">
        <f t="shared" si="0"/>
        <v>0.05</v>
      </c>
      <c r="Q18">
        <f t="shared" si="12"/>
        <v>0.79999999999999982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</row>
    <row r="19" spans="1:22" x14ac:dyDescent="0.25">
      <c r="A19">
        <f t="shared" si="6"/>
        <v>0.29999999999999966</v>
      </c>
      <c r="B19">
        <f t="shared" si="1"/>
        <v>9.9999999999999908E-2</v>
      </c>
      <c r="C19">
        <f t="shared" si="2"/>
        <v>0.29999999999999966</v>
      </c>
      <c r="D19">
        <f t="shared" si="3"/>
        <v>0.29999999999999966</v>
      </c>
      <c r="E19">
        <f t="shared" si="4"/>
        <v>0.29999999999999966</v>
      </c>
      <c r="F19">
        <f t="shared" si="5"/>
        <v>0.19999999999999979</v>
      </c>
      <c r="G19" s="2">
        <f>B19-'Output for Report'!$C$39+C19-'Output for Report'!$D$39+D19-'Output for Report'!$E$39+E19-'Output for Report'!$F$39+F19-'Output for Report'!$G$39</f>
        <v>0.69999999999999862</v>
      </c>
      <c r="H19" s="2"/>
      <c r="I19" s="2">
        <f>IF(B19-'Output for Report'!C$39&gt;0,B19-'Output for Report'!C$39,0)</f>
        <v>0</v>
      </c>
      <c r="J19" s="2">
        <f>IF(C19-'Output for Report'!D$39&gt;0,C19-'Output for Report'!D$39,0)</f>
        <v>0.24999999999999967</v>
      </c>
      <c r="K19" s="2">
        <f>IF(D19-'Output for Report'!E$39&gt;0,D19-'Output for Report'!E$39,0)</f>
        <v>0.24999999999999967</v>
      </c>
      <c r="L19" s="2">
        <f>IF(E19-'Output for Report'!F$39&gt;0,E19-'Output for Report'!F$39,0)</f>
        <v>0.24999999999999967</v>
      </c>
      <c r="M19" s="2">
        <f>IF(F19-'Output for Report'!G$39&gt;0,F19-'Output for Report'!G$39,0)</f>
        <v>0.1499999999999998</v>
      </c>
      <c r="N19" s="2">
        <f t="shared" si="0"/>
        <v>0.05</v>
      </c>
      <c r="Q19">
        <f t="shared" si="12"/>
        <v>0.74999999999999978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</row>
    <row r="20" spans="1:22" x14ac:dyDescent="0.25">
      <c r="Q20">
        <f t="shared" si="12"/>
        <v>0.69999999999999973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</row>
    <row r="21" spans="1:22" x14ac:dyDescent="0.25">
      <c r="Q21">
        <f t="shared" si="12"/>
        <v>0.64999999999999969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</row>
    <row r="22" spans="1:22" x14ac:dyDescent="0.25">
      <c r="Q22">
        <f t="shared" si="12"/>
        <v>0.59999999999999964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</row>
    <row r="23" spans="1:22" x14ac:dyDescent="0.25">
      <c r="Q23">
        <f t="shared" si="12"/>
        <v>0.5499999999999996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</row>
    <row r="24" spans="1:22" x14ac:dyDescent="0.25">
      <c r="N24">
        <v>100</v>
      </c>
      <c r="Q24">
        <f t="shared" si="12"/>
        <v>0.49999999999999961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</row>
    <row r="25" spans="1:22" x14ac:dyDescent="0.25">
      <c r="N25">
        <v>125</v>
      </c>
      <c r="Q25">
        <f t="shared" si="12"/>
        <v>0.44999999999999962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</row>
    <row r="26" spans="1:22" x14ac:dyDescent="0.25">
      <c r="N26">
        <v>160</v>
      </c>
      <c r="Q26">
        <f t="shared" si="12"/>
        <v>0.39999999999999963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</row>
    <row r="27" spans="1:22" x14ac:dyDescent="0.25">
      <c r="N27">
        <v>200</v>
      </c>
      <c r="Q27">
        <f t="shared" si="12"/>
        <v>0.34999999999999964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</row>
    <row r="28" spans="1:22" x14ac:dyDescent="0.25">
      <c r="N28">
        <v>250</v>
      </c>
      <c r="O28">
        <f>SUM(R14:R28)</f>
        <v>0</v>
      </c>
      <c r="Q28">
        <f t="shared" si="12"/>
        <v>0.29999999999999966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</row>
    <row r="29" spans="1:22" x14ac:dyDescent="0.25">
      <c r="N29">
        <v>315</v>
      </c>
      <c r="O29">
        <f>(O31-O28)/3+O28</f>
        <v>0</v>
      </c>
    </row>
    <row r="30" spans="1:22" x14ac:dyDescent="0.25">
      <c r="N30">
        <v>400</v>
      </c>
      <c r="O30">
        <f>(O31-O28)/3+O29</f>
        <v>0</v>
      </c>
    </row>
    <row r="31" spans="1:22" x14ac:dyDescent="0.25">
      <c r="N31">
        <v>500</v>
      </c>
      <c r="O31">
        <f>SUM(S14:S28)</f>
        <v>0</v>
      </c>
    </row>
    <row r="32" spans="1:22" x14ac:dyDescent="0.25">
      <c r="N32">
        <v>630</v>
      </c>
      <c r="O32">
        <f>O31</f>
        <v>0</v>
      </c>
    </row>
    <row r="33" spans="14:15" x14ac:dyDescent="0.25">
      <c r="N33">
        <v>800</v>
      </c>
      <c r="O33">
        <f>O32</f>
        <v>0</v>
      </c>
    </row>
    <row r="34" spans="14:15" x14ac:dyDescent="0.25">
      <c r="N34">
        <v>1000</v>
      </c>
      <c r="O34">
        <f>SUM(T14:T28)</f>
        <v>0</v>
      </c>
    </row>
    <row r="35" spans="14:15" x14ac:dyDescent="0.25">
      <c r="N35">
        <v>1250</v>
      </c>
      <c r="O35">
        <f>O34</f>
        <v>0</v>
      </c>
    </row>
    <row r="36" spans="14:15" x14ac:dyDescent="0.25">
      <c r="N36">
        <v>1600</v>
      </c>
      <c r="O36">
        <f>O35</f>
        <v>0</v>
      </c>
    </row>
    <row r="37" spans="14:15" x14ac:dyDescent="0.25">
      <c r="N37">
        <v>2000</v>
      </c>
      <c r="O37">
        <f>SUM(U14:U28)</f>
        <v>0</v>
      </c>
    </row>
    <row r="38" spans="14:15" x14ac:dyDescent="0.25">
      <c r="N38">
        <v>2500</v>
      </c>
      <c r="O38">
        <f>O37-($O$37-$O$40)/3</f>
        <v>0</v>
      </c>
    </row>
    <row r="39" spans="14:15" x14ac:dyDescent="0.25">
      <c r="N39">
        <v>3150</v>
      </c>
      <c r="O39">
        <f>O38-($O$37-$O$40)/3</f>
        <v>0</v>
      </c>
    </row>
    <row r="40" spans="14:15" x14ac:dyDescent="0.25">
      <c r="N40">
        <v>4000</v>
      </c>
      <c r="O40">
        <f>SUM(V14:V28)</f>
        <v>0</v>
      </c>
    </row>
    <row r="41" spans="14:15" x14ac:dyDescent="0.25">
      <c r="N41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 Empty Room</vt:lpstr>
      <vt:lpstr>T2 With Sample</vt:lpstr>
      <vt:lpstr>Initial Parameters</vt:lpstr>
      <vt:lpstr>Output for Report</vt:lpstr>
      <vt:lpstr>Absorption Area</vt:lpstr>
      <vt:lpstr>Background calcs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JSK-PC004</cp:lastModifiedBy>
  <cp:lastPrinted>2020-04-15T03:07:29Z</cp:lastPrinted>
  <dcterms:created xsi:type="dcterms:W3CDTF">2010-07-19T03:02:48Z</dcterms:created>
  <dcterms:modified xsi:type="dcterms:W3CDTF">2021-06-01T02:21:50Z</dcterms:modified>
</cp:coreProperties>
</file>